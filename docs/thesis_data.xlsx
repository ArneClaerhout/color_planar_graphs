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rne\color_planar_graphs\docs\thesis\"/>
    </mc:Choice>
  </mc:AlternateContent>
  <xr:revisionPtr revIDLastSave="0" documentId="13_ncr:1_{041CB575-032A-42CD-B61D-B4F8090C13C5}" xr6:coauthVersionLast="47" xr6:coauthVersionMax="47" xr10:uidLastSave="{00000000-0000-0000-0000-000000000000}"/>
  <bookViews>
    <workbookView xWindow="120" yWindow="72" windowWidth="23016" windowHeight="12936" activeTab="6" xr2:uid="{7B6587AA-5D80-45A9-9240-D59314036C30}"/>
  </bookViews>
  <sheets>
    <sheet name="Times" sheetId="1" r:id="rId1"/>
    <sheet name="General" sheetId="4" r:id="rId2"/>
    <sheet name="PortingC" sheetId="2" r:id="rId3"/>
    <sheet name="Index" sheetId="5" r:id="rId4"/>
    <sheet name="Bitsets" sheetId="6" r:id="rId5"/>
    <sheet name="Datastructures" sheetId="7" r:id="rId6"/>
    <sheet name="Naut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8" l="1"/>
  <c r="D3" i="8"/>
  <c r="D4" i="8"/>
  <c r="D5" i="8"/>
  <c r="D6" i="8"/>
  <c r="D7" i="8"/>
  <c r="D8" i="8"/>
  <c r="D9" i="8"/>
  <c r="D10" i="8"/>
  <c r="D11" i="8"/>
  <c r="D12" i="8"/>
  <c r="D13" i="8"/>
  <c r="D2" i="8"/>
  <c r="BH12" i="4"/>
  <c r="BH11" i="4"/>
  <c r="BH10" i="4"/>
  <c r="BH9" i="4"/>
  <c r="BH8" i="4"/>
  <c r="BH7" i="4"/>
  <c r="BH6" i="4"/>
  <c r="BH5" i="4"/>
  <c r="BH4" i="4"/>
  <c r="BH3" i="4"/>
  <c r="BH2" i="4"/>
  <c r="AJ11" i="7"/>
  <c r="AJ10" i="7"/>
  <c r="AJ9" i="7"/>
  <c r="AJ8" i="7"/>
  <c r="AJ7" i="7"/>
  <c r="AJ6" i="7"/>
  <c r="AJ5" i="7"/>
  <c r="AJ4" i="7"/>
  <c r="AJ3" i="7"/>
  <c r="AJ2" i="7"/>
  <c r="AL38" i="1"/>
  <c r="Y25" i="1"/>
  <c r="X10" i="7"/>
  <c r="X9" i="7"/>
  <c r="X8" i="7"/>
  <c r="X7" i="7"/>
  <c r="X6" i="7"/>
  <c r="X5" i="7"/>
  <c r="X4" i="7"/>
  <c r="X3" i="7"/>
  <c r="X2" i="7"/>
  <c r="L11" i="7"/>
  <c r="L10" i="7"/>
  <c r="L9" i="7"/>
  <c r="L8" i="7"/>
  <c r="L7" i="7"/>
  <c r="L6" i="7"/>
  <c r="L5" i="7"/>
  <c r="L4" i="7"/>
  <c r="L3" i="7"/>
  <c r="L2" i="7"/>
  <c r="X10" i="6"/>
  <c r="X9" i="6"/>
  <c r="X8" i="6"/>
  <c r="X7" i="6"/>
  <c r="X6" i="6"/>
  <c r="X5" i="6"/>
  <c r="X4" i="6"/>
  <c r="X3" i="6"/>
  <c r="X2" i="6"/>
  <c r="L10" i="6"/>
  <c r="L9" i="6"/>
  <c r="L8" i="6"/>
  <c r="L7" i="6"/>
  <c r="L6" i="6"/>
  <c r="L5" i="6"/>
  <c r="L4" i="6"/>
  <c r="L3" i="6"/>
  <c r="L2" i="6"/>
  <c r="L11" i="5"/>
  <c r="L10" i="5"/>
  <c r="L9" i="5"/>
  <c r="L8" i="5"/>
  <c r="L7" i="5"/>
  <c r="L6" i="5"/>
  <c r="L5" i="5"/>
  <c r="L4" i="5"/>
  <c r="L3" i="5"/>
  <c r="L2" i="5"/>
  <c r="X11" i="5"/>
  <c r="X10" i="5"/>
  <c r="X9" i="5"/>
  <c r="X8" i="5"/>
  <c r="X7" i="5"/>
  <c r="X6" i="5"/>
  <c r="X5" i="5"/>
  <c r="X4" i="5"/>
  <c r="X3" i="5"/>
  <c r="X2" i="5"/>
  <c r="AJ11" i="5"/>
  <c r="AJ10" i="5"/>
  <c r="AJ9" i="5"/>
  <c r="AJ8" i="5"/>
  <c r="AJ7" i="5"/>
  <c r="AJ6" i="5"/>
  <c r="AJ5" i="5"/>
  <c r="AJ4" i="5"/>
  <c r="AJ3" i="5"/>
  <c r="AJ2" i="5"/>
  <c r="L7" i="4"/>
  <c r="L6" i="4"/>
  <c r="L5" i="4"/>
  <c r="L4" i="4"/>
  <c r="L3" i="4"/>
  <c r="L2" i="4"/>
  <c r="X10" i="4"/>
  <c r="X9" i="4"/>
  <c r="X8" i="4"/>
  <c r="X7" i="4"/>
  <c r="X6" i="4"/>
  <c r="X5" i="4"/>
  <c r="X4" i="4"/>
  <c r="X3" i="4"/>
  <c r="X2" i="4"/>
  <c r="AJ11" i="4"/>
  <c r="AJ10" i="4"/>
  <c r="AJ9" i="4"/>
  <c r="AJ8" i="4"/>
  <c r="AJ7" i="4"/>
  <c r="AJ6" i="4"/>
  <c r="AJ5" i="4"/>
  <c r="AJ4" i="4"/>
  <c r="AJ3" i="4"/>
  <c r="AJ2" i="4"/>
  <c r="AV11" i="4"/>
  <c r="AV10" i="4"/>
  <c r="AV9" i="4"/>
  <c r="AV8" i="4"/>
  <c r="AV7" i="4"/>
  <c r="AV6" i="4"/>
  <c r="AV5" i="4"/>
  <c r="AV4" i="4"/>
  <c r="AV3" i="4"/>
  <c r="AV2" i="4"/>
  <c r="L11" i="2"/>
  <c r="L10" i="2"/>
  <c r="L9" i="2"/>
  <c r="L8" i="2"/>
  <c r="L7" i="2"/>
  <c r="L6" i="2"/>
  <c r="L5" i="2"/>
  <c r="L4" i="2"/>
  <c r="L3" i="2"/>
  <c r="L2" i="2"/>
  <c r="X11" i="2"/>
  <c r="X10" i="2"/>
  <c r="X9" i="2"/>
  <c r="X8" i="2"/>
  <c r="X7" i="2"/>
  <c r="X6" i="2"/>
  <c r="X5" i="2"/>
  <c r="X4" i="2"/>
  <c r="X3" i="2"/>
  <c r="X2" i="2"/>
  <c r="AL55" i="1"/>
  <c r="AL56" i="1"/>
  <c r="AL57" i="1"/>
  <c r="AL58" i="1"/>
  <c r="AL59" i="1"/>
  <c r="AL60" i="1"/>
  <c r="AL61" i="1"/>
  <c r="AL62" i="1"/>
  <c r="AL63" i="1"/>
  <c r="AL54" i="1"/>
  <c r="AL16" i="1"/>
  <c r="AL17" i="1"/>
  <c r="AL18" i="1"/>
  <c r="AL19" i="1"/>
  <c r="AL20" i="1"/>
  <c r="AL21" i="1"/>
  <c r="AL22" i="1"/>
  <c r="AL23" i="1"/>
  <c r="AL24" i="1"/>
  <c r="AL29" i="1"/>
  <c r="AL30" i="1"/>
  <c r="AL31" i="1"/>
  <c r="AL32" i="1"/>
  <c r="AL33" i="1"/>
  <c r="AL34" i="1"/>
  <c r="AL35" i="1"/>
  <c r="AL36" i="1"/>
  <c r="AL37" i="1"/>
  <c r="AL15" i="1"/>
  <c r="Y16" i="1"/>
  <c r="Y17" i="1"/>
  <c r="Y18" i="1"/>
  <c r="Y19" i="1"/>
  <c r="Y20" i="1"/>
  <c r="Y21" i="1"/>
  <c r="Y22" i="1"/>
  <c r="Y23" i="1"/>
  <c r="Y24" i="1"/>
  <c r="Y29" i="1"/>
  <c r="Y30" i="1"/>
  <c r="Y31" i="1"/>
  <c r="Y32" i="1"/>
  <c r="Y33" i="1"/>
  <c r="Y34" i="1"/>
  <c r="Y35" i="1"/>
  <c r="Y36" i="1"/>
  <c r="Y37" i="1"/>
  <c r="Y42" i="1"/>
  <c r="Y43" i="1"/>
  <c r="Y44" i="1"/>
  <c r="Y45" i="1"/>
  <c r="Y46" i="1"/>
  <c r="Y47" i="1"/>
  <c r="Y48" i="1"/>
  <c r="Y49" i="1"/>
  <c r="Y50" i="1"/>
  <c r="Y54" i="1"/>
  <c r="Y55" i="1"/>
  <c r="Y56" i="1"/>
  <c r="Y57" i="1"/>
  <c r="Y58" i="1"/>
  <c r="Y59" i="1"/>
  <c r="Y60" i="1"/>
  <c r="Y61" i="1"/>
  <c r="Y62" i="1"/>
  <c r="Y63" i="1"/>
  <c r="Y15" i="1"/>
  <c r="L2" i="1"/>
  <c r="L55" i="1"/>
  <c r="L56" i="1"/>
  <c r="L57" i="1"/>
  <c r="L58" i="1"/>
  <c r="L59" i="1"/>
  <c r="L54" i="1"/>
  <c r="L43" i="1"/>
  <c r="L44" i="1"/>
  <c r="L45" i="1"/>
  <c r="L46" i="1"/>
  <c r="L47" i="1"/>
  <c r="L48" i="1"/>
  <c r="L49" i="1"/>
  <c r="L50" i="1"/>
  <c r="L42" i="1"/>
  <c r="L30" i="1"/>
  <c r="L31" i="1"/>
  <c r="L32" i="1"/>
  <c r="L33" i="1"/>
  <c r="L34" i="1"/>
  <c r="L35" i="1"/>
  <c r="L36" i="1"/>
  <c r="L37" i="1"/>
  <c r="L38" i="1"/>
  <c r="L29" i="1"/>
  <c r="L16" i="1"/>
  <c r="L17" i="1"/>
  <c r="L18" i="1"/>
  <c r="L19" i="1"/>
  <c r="L20" i="1"/>
  <c r="L21" i="1"/>
  <c r="L22" i="1"/>
  <c r="L23" i="1"/>
  <c r="L24" i="1"/>
  <c r="L15" i="1"/>
  <c r="L3" i="1"/>
  <c r="L4" i="1"/>
  <c r="L5" i="1"/>
  <c r="L6" i="1"/>
  <c r="L7" i="1"/>
  <c r="L8" i="1"/>
  <c r="L9" i="1"/>
  <c r="L10" i="1"/>
  <c r="L11" i="1"/>
</calcChain>
</file>

<file path=xl/sharedStrings.xml><?xml version="1.0" encoding="utf-8"?>
<sst xmlns="http://schemas.openxmlformats.org/spreadsheetml/2006/main" count="330" uniqueCount="39">
  <si>
    <t>--------------------------------------------------</t>
  </si>
  <si>
    <t>Total execution time: 871730 ms</t>
  </si>
  <si>
    <t>Total execution time: 522415 ms</t>
  </si>
  <si>
    <t>Total execution time: 147583 ms</t>
  </si>
  <si>
    <t>Total execution time: 389829 ms</t>
  </si>
  <si>
    <t>Total execution time: 1039937 ms</t>
  </si>
  <si>
    <t>Total execution time: 6644072 ms</t>
  </si>
  <si>
    <t>Total execution time: 10377412 ms</t>
  </si>
  <si>
    <t>Total execution time: 2293000 ms</t>
  </si>
  <si>
    <t>Total execution time: 211857 ms</t>
  </si>
  <si>
    <t>Total execution time: 8708626 ms</t>
  </si>
  <si>
    <t>Total execution time: 9094646 ms</t>
  </si>
  <si>
    <t xml:space="preserve"> proper time (ms) </t>
  </si>
  <si>
    <t xml:space="preserve"> odd time (ms)    </t>
  </si>
  <si>
    <t xml:space="preserve"> iUMo time (ms)   </t>
  </si>
  <si>
    <t xml:space="preserve"> iUMc time (ms)   </t>
  </si>
  <si>
    <t xml:space="preserve"> pUMo time (ms)   </t>
  </si>
  <si>
    <t xml:space="preserve"> pUMc time (ms)   </t>
  </si>
  <si>
    <t xml:space="preserve"> iCFo time (ms)   </t>
  </si>
  <si>
    <t xml:space="preserve"> iCFc time (ms)   </t>
  </si>
  <si>
    <t xml:space="preserve"> pCFo time (ms)   </t>
  </si>
  <si>
    <t xml:space="preserve"> Total time (ms)</t>
  </si>
  <si>
    <t>version 5.0</t>
  </si>
  <si>
    <t>version 5.1</t>
  </si>
  <si>
    <t>version 2.0</t>
  </si>
  <si>
    <t>version 4 PQ</t>
  </si>
  <si>
    <t>version 1</t>
  </si>
  <si>
    <t>version 4 WP</t>
  </si>
  <si>
    <t>version 5.1 M10</t>
  </si>
  <si>
    <t>version 3/4</t>
  </si>
  <si>
    <t>version 2.1</t>
  </si>
  <si>
    <t>version 4 M10</t>
  </si>
  <si>
    <t>version 4 BS</t>
  </si>
  <si>
    <t>version 4 Standard_WP</t>
  </si>
  <si>
    <t>Total time once</t>
  </si>
  <si>
    <t xml:space="preserve">Vertices   </t>
  </si>
  <si>
    <t xml:space="preserve"> Nauty (s)  </t>
  </si>
  <si>
    <t xml:space="preserve"> Own Program (s) </t>
  </si>
  <si>
    <t>Opposite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</si>
</sst>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82C1-D53B-4682-A512-8A0EA28B68D5}">
  <dimension ref="A1:AL64"/>
  <sheetViews>
    <sheetView topLeftCell="K7" zoomScale="70" zoomScaleNormal="70" workbookViewId="0">
      <selection activeCell="N14" sqref="N14:Y25"/>
    </sheetView>
  </sheetViews>
  <sheetFormatPr defaultRowHeight="15" x14ac:dyDescent="0.25"/>
  <cols>
    <col min="1" max="1" width="15.7109375" customWidth="1"/>
    <col min="2" max="2" width="14.42578125" customWidth="1"/>
    <col min="3" max="4" width="14" customWidth="1"/>
    <col min="5" max="5" width="13.85546875" customWidth="1"/>
    <col min="6" max="6" width="12.85546875" customWidth="1"/>
    <col min="7" max="7" width="13" customWidth="1"/>
    <col min="8" max="8" width="14.28515625" customWidth="1"/>
    <col min="9" max="9" width="13.5703125" customWidth="1"/>
    <col min="10" max="10" width="17.5703125" customWidth="1"/>
    <col min="11" max="11" width="15.7109375" customWidth="1"/>
    <col min="12" max="12" width="18.140625" customWidth="1"/>
    <col min="13" max="13" width="2.42578125" style="1" customWidth="1"/>
    <col min="14" max="14" width="16.28515625" customWidth="1"/>
    <col min="24" max="25" width="15.28515625" customWidth="1"/>
    <col min="26" max="26" width="2.85546875" style="1" customWidth="1"/>
    <col min="27" max="27" width="16.28515625" customWidth="1"/>
    <col min="37" max="37" width="13.85546875" customWidth="1"/>
    <col min="38" max="38" width="17.28515625" customWidth="1"/>
  </cols>
  <sheetData>
    <row r="1" spans="1:38" x14ac:dyDescent="0.25">
      <c r="A1" t="s">
        <v>22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Y1" t="s">
        <v>34</v>
      </c>
      <c r="AL1" t="s">
        <v>34</v>
      </c>
    </row>
    <row r="2" spans="1:38" x14ac:dyDescent="0.25">
      <c r="A2">
        <v>6</v>
      </c>
      <c r="B2">
        <v>12</v>
      </c>
      <c r="C2">
        <v>12</v>
      </c>
      <c r="D2">
        <v>13</v>
      </c>
      <c r="E2">
        <v>13</v>
      </c>
      <c r="F2">
        <v>12</v>
      </c>
      <c r="G2">
        <v>12</v>
      </c>
      <c r="H2">
        <v>12</v>
      </c>
      <c r="I2">
        <v>13</v>
      </c>
      <c r="J2">
        <v>13</v>
      </c>
      <c r="K2">
        <v>371</v>
      </c>
      <c r="L2" s="2">
        <f>K2/3</f>
        <v>123.66666666666667</v>
      </c>
    </row>
    <row r="3" spans="1:38" x14ac:dyDescent="0.25">
      <c r="A3">
        <v>7</v>
      </c>
      <c r="B3">
        <v>13</v>
      </c>
      <c r="C3">
        <v>13</v>
      </c>
      <c r="D3">
        <v>13</v>
      </c>
      <c r="E3">
        <v>13</v>
      </c>
      <c r="F3">
        <v>12</v>
      </c>
      <c r="G3">
        <v>13</v>
      </c>
      <c r="H3">
        <v>13</v>
      </c>
      <c r="I3">
        <v>13</v>
      </c>
      <c r="J3">
        <v>13</v>
      </c>
      <c r="K3">
        <v>385</v>
      </c>
      <c r="L3">
        <f t="shared" ref="L3:L11" si="0">K3/3</f>
        <v>128.33333333333334</v>
      </c>
    </row>
    <row r="4" spans="1:38" x14ac:dyDescent="0.25">
      <c r="A4">
        <v>8</v>
      </c>
      <c r="B4">
        <v>13</v>
      </c>
      <c r="C4">
        <v>13</v>
      </c>
      <c r="D4">
        <v>13</v>
      </c>
      <c r="E4">
        <v>12</v>
      </c>
      <c r="F4">
        <v>12</v>
      </c>
      <c r="G4">
        <v>12</v>
      </c>
      <c r="H4">
        <v>12</v>
      </c>
      <c r="I4">
        <v>12</v>
      </c>
      <c r="J4">
        <v>12</v>
      </c>
      <c r="K4">
        <v>375</v>
      </c>
      <c r="L4">
        <f t="shared" si="0"/>
        <v>125</v>
      </c>
    </row>
    <row r="5" spans="1:38" x14ac:dyDescent="0.25">
      <c r="A5">
        <v>9</v>
      </c>
      <c r="B5">
        <v>13</v>
      </c>
      <c r="C5">
        <v>13</v>
      </c>
      <c r="D5">
        <v>12</v>
      </c>
      <c r="E5">
        <v>13</v>
      </c>
      <c r="F5">
        <v>13</v>
      </c>
      <c r="G5">
        <v>13</v>
      </c>
      <c r="H5">
        <v>13</v>
      </c>
      <c r="I5">
        <v>13</v>
      </c>
      <c r="J5">
        <v>12</v>
      </c>
      <c r="K5">
        <v>383</v>
      </c>
      <c r="L5">
        <f t="shared" si="0"/>
        <v>127.66666666666667</v>
      </c>
    </row>
    <row r="6" spans="1:38" x14ac:dyDescent="0.25">
      <c r="A6">
        <v>10</v>
      </c>
      <c r="B6">
        <v>13</v>
      </c>
      <c r="C6">
        <v>14</v>
      </c>
      <c r="D6">
        <v>14</v>
      </c>
      <c r="E6">
        <v>13</v>
      </c>
      <c r="F6">
        <v>16</v>
      </c>
      <c r="G6">
        <v>16</v>
      </c>
      <c r="H6">
        <v>14</v>
      </c>
      <c r="I6">
        <v>14</v>
      </c>
      <c r="J6">
        <v>15</v>
      </c>
      <c r="K6">
        <v>424</v>
      </c>
      <c r="L6">
        <f t="shared" si="0"/>
        <v>141.33333333333334</v>
      </c>
    </row>
    <row r="7" spans="1:38" x14ac:dyDescent="0.25">
      <c r="A7">
        <v>11</v>
      </c>
      <c r="B7">
        <v>15</v>
      </c>
      <c r="C7">
        <v>19</v>
      </c>
      <c r="D7">
        <v>18</v>
      </c>
      <c r="E7">
        <v>18</v>
      </c>
      <c r="F7">
        <v>30</v>
      </c>
      <c r="G7">
        <v>29</v>
      </c>
      <c r="H7">
        <v>20</v>
      </c>
      <c r="I7">
        <v>20</v>
      </c>
      <c r="J7">
        <v>22</v>
      </c>
      <c r="K7">
        <v>612</v>
      </c>
      <c r="L7">
        <f t="shared" si="0"/>
        <v>204</v>
      </c>
    </row>
    <row r="8" spans="1:38" x14ac:dyDescent="0.25">
      <c r="A8">
        <v>12</v>
      </c>
      <c r="B8">
        <v>25</v>
      </c>
      <c r="C8">
        <v>58</v>
      </c>
      <c r="D8">
        <v>56</v>
      </c>
      <c r="E8">
        <v>52</v>
      </c>
      <c r="F8">
        <v>140</v>
      </c>
      <c r="G8">
        <v>145</v>
      </c>
      <c r="H8">
        <v>71</v>
      </c>
      <c r="I8">
        <v>64</v>
      </c>
      <c r="J8">
        <v>81</v>
      </c>
      <c r="K8">
        <v>2114</v>
      </c>
      <c r="L8">
        <f t="shared" si="0"/>
        <v>704.66666666666663</v>
      </c>
    </row>
    <row r="9" spans="1:38" x14ac:dyDescent="0.25">
      <c r="A9">
        <v>13</v>
      </c>
      <c r="B9">
        <v>103</v>
      </c>
      <c r="C9">
        <v>361</v>
      </c>
      <c r="D9">
        <v>336</v>
      </c>
      <c r="E9">
        <v>306</v>
      </c>
      <c r="F9">
        <v>908</v>
      </c>
      <c r="G9">
        <v>850</v>
      </c>
      <c r="H9">
        <v>401</v>
      </c>
      <c r="I9">
        <v>378</v>
      </c>
      <c r="J9">
        <v>510</v>
      </c>
      <c r="K9">
        <v>12499</v>
      </c>
      <c r="L9">
        <f t="shared" si="0"/>
        <v>4166.333333333333</v>
      </c>
    </row>
    <row r="10" spans="1:38" x14ac:dyDescent="0.25">
      <c r="A10">
        <v>14</v>
      </c>
      <c r="B10">
        <v>655</v>
      </c>
      <c r="C10">
        <v>2772</v>
      </c>
      <c r="D10">
        <v>2596</v>
      </c>
      <c r="E10">
        <v>2364</v>
      </c>
      <c r="F10">
        <v>7054</v>
      </c>
      <c r="G10">
        <v>6563</v>
      </c>
      <c r="H10">
        <v>2992</v>
      </c>
      <c r="I10">
        <v>2863</v>
      </c>
      <c r="J10">
        <v>3782</v>
      </c>
      <c r="K10">
        <v>94966</v>
      </c>
      <c r="L10">
        <f t="shared" si="0"/>
        <v>31655.333333333332</v>
      </c>
    </row>
    <row r="11" spans="1:38" x14ac:dyDescent="0.25">
      <c r="A11">
        <v>15</v>
      </c>
      <c r="B11">
        <v>4746</v>
      </c>
      <c r="C11">
        <v>22611</v>
      </c>
      <c r="D11">
        <v>21815</v>
      </c>
      <c r="E11">
        <v>19283</v>
      </c>
      <c r="F11">
        <v>56686</v>
      </c>
      <c r="G11">
        <v>51872</v>
      </c>
      <c r="H11">
        <v>23843</v>
      </c>
      <c r="I11">
        <v>22787</v>
      </c>
      <c r="J11">
        <v>29537</v>
      </c>
      <c r="K11">
        <v>759582</v>
      </c>
      <c r="L11">
        <f t="shared" si="0"/>
        <v>253194</v>
      </c>
    </row>
    <row r="12" spans="1:38" x14ac:dyDescent="0.25">
      <c r="A12" t="s">
        <v>1</v>
      </c>
    </row>
    <row r="13" spans="1:38" s="1" customFormat="1" x14ac:dyDescent="0.25"/>
    <row r="14" spans="1:38" x14ac:dyDescent="0.25">
      <c r="A14" t="s">
        <v>23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N14" t="s">
        <v>28</v>
      </c>
      <c r="O14" t="s">
        <v>12</v>
      </c>
      <c r="P14" t="s">
        <v>13</v>
      </c>
      <c r="Q14" t="s">
        <v>14</v>
      </c>
      <c r="R14" t="s">
        <v>15</v>
      </c>
      <c r="S14" t="s">
        <v>16</v>
      </c>
      <c r="T14" t="s">
        <v>17</v>
      </c>
      <c r="U14" t="s">
        <v>18</v>
      </c>
      <c r="V14" t="s">
        <v>19</v>
      </c>
      <c r="W14" t="s">
        <v>20</v>
      </c>
      <c r="X14" t="s">
        <v>21</v>
      </c>
      <c r="AA14" t="s">
        <v>31</v>
      </c>
      <c r="AB14" t="s">
        <v>12</v>
      </c>
      <c r="AC14" t="s">
        <v>13</v>
      </c>
      <c r="AD14" t="s">
        <v>14</v>
      </c>
      <c r="AE14" t="s">
        <v>15</v>
      </c>
      <c r="AF14" t="s">
        <v>16</v>
      </c>
      <c r="AG14" t="s">
        <v>17</v>
      </c>
      <c r="AH14" t="s">
        <v>18</v>
      </c>
      <c r="AI14" t="s">
        <v>19</v>
      </c>
      <c r="AJ14" t="s">
        <v>20</v>
      </c>
      <c r="AK14" t="s">
        <v>21</v>
      </c>
    </row>
    <row r="15" spans="1:38" x14ac:dyDescent="0.25">
      <c r="A15">
        <v>6</v>
      </c>
      <c r="B15">
        <v>16</v>
      </c>
      <c r="C15">
        <v>13</v>
      </c>
      <c r="D15">
        <v>13</v>
      </c>
      <c r="E15">
        <v>13</v>
      </c>
      <c r="F15">
        <v>13</v>
      </c>
      <c r="G15">
        <v>14</v>
      </c>
      <c r="H15">
        <v>13</v>
      </c>
      <c r="I15">
        <v>13</v>
      </c>
      <c r="J15">
        <v>13</v>
      </c>
      <c r="K15">
        <v>402</v>
      </c>
      <c r="L15">
        <f>K15/3</f>
        <v>134</v>
      </c>
      <c r="N15">
        <v>6</v>
      </c>
      <c r="O15">
        <v>49</v>
      </c>
      <c r="P15">
        <v>42</v>
      </c>
      <c r="Q15">
        <v>43</v>
      </c>
      <c r="R15">
        <v>44</v>
      </c>
      <c r="S15">
        <v>43</v>
      </c>
      <c r="T15">
        <v>40</v>
      </c>
      <c r="U15">
        <v>40</v>
      </c>
      <c r="V15">
        <v>40</v>
      </c>
      <c r="W15">
        <v>39</v>
      </c>
      <c r="X15">
        <v>1177</v>
      </c>
      <c r="Y15">
        <f>X15/3</f>
        <v>392.33333333333331</v>
      </c>
      <c r="AA15">
        <v>6</v>
      </c>
      <c r="AB15">
        <v>226</v>
      </c>
      <c r="AC15">
        <v>178</v>
      </c>
      <c r="AD15">
        <v>182</v>
      </c>
      <c r="AE15">
        <v>180</v>
      </c>
      <c r="AF15">
        <v>188</v>
      </c>
      <c r="AG15">
        <v>177</v>
      </c>
      <c r="AH15">
        <v>184</v>
      </c>
      <c r="AI15">
        <v>181</v>
      </c>
      <c r="AJ15">
        <v>192</v>
      </c>
      <c r="AK15">
        <v>5098</v>
      </c>
      <c r="AL15">
        <f>AK15/3</f>
        <v>1699.3333333333333</v>
      </c>
    </row>
    <row r="16" spans="1:38" x14ac:dyDescent="0.25">
      <c r="A16">
        <v>7</v>
      </c>
      <c r="B16">
        <v>13</v>
      </c>
      <c r="C16">
        <v>14</v>
      </c>
      <c r="D16">
        <v>14</v>
      </c>
      <c r="E16">
        <v>13</v>
      </c>
      <c r="F16">
        <v>13</v>
      </c>
      <c r="G16">
        <v>13</v>
      </c>
      <c r="H16">
        <v>13</v>
      </c>
      <c r="I16">
        <v>13</v>
      </c>
      <c r="J16">
        <v>13</v>
      </c>
      <c r="K16">
        <v>399</v>
      </c>
      <c r="L16">
        <f t="shared" ref="L16:L24" si="1">K16/3</f>
        <v>133</v>
      </c>
      <c r="N16">
        <v>7</v>
      </c>
      <c r="O16">
        <v>43</v>
      </c>
      <c r="P16">
        <v>40</v>
      </c>
      <c r="Q16">
        <v>39</v>
      </c>
      <c r="R16">
        <v>40</v>
      </c>
      <c r="S16">
        <v>38</v>
      </c>
      <c r="T16">
        <v>38</v>
      </c>
      <c r="U16">
        <v>38</v>
      </c>
      <c r="V16">
        <v>40</v>
      </c>
      <c r="W16">
        <v>41</v>
      </c>
      <c r="X16">
        <v>1110</v>
      </c>
      <c r="Y16">
        <f t="shared" ref="Y16:Y63" si="2">X16/3</f>
        <v>370</v>
      </c>
      <c r="AA16">
        <v>7</v>
      </c>
      <c r="AB16">
        <v>179</v>
      </c>
      <c r="AC16">
        <v>186</v>
      </c>
      <c r="AD16">
        <v>181</v>
      </c>
      <c r="AE16">
        <v>180</v>
      </c>
      <c r="AF16">
        <v>189</v>
      </c>
      <c r="AG16">
        <v>184</v>
      </c>
      <c r="AH16">
        <v>180</v>
      </c>
      <c r="AI16">
        <v>183</v>
      </c>
      <c r="AJ16">
        <v>182</v>
      </c>
      <c r="AK16">
        <v>4974</v>
      </c>
      <c r="AL16">
        <f t="shared" ref="AL16:AL38" si="3">AK16/3</f>
        <v>1658</v>
      </c>
    </row>
    <row r="17" spans="1:38" x14ac:dyDescent="0.25">
      <c r="A17">
        <v>8</v>
      </c>
      <c r="B17">
        <v>14</v>
      </c>
      <c r="C17">
        <v>13</v>
      </c>
      <c r="D17">
        <v>13</v>
      </c>
      <c r="E17">
        <v>13</v>
      </c>
      <c r="F17">
        <v>13</v>
      </c>
      <c r="G17">
        <v>13</v>
      </c>
      <c r="H17">
        <v>13</v>
      </c>
      <c r="I17">
        <v>14</v>
      </c>
      <c r="J17">
        <v>14</v>
      </c>
      <c r="K17">
        <v>402</v>
      </c>
      <c r="L17">
        <f t="shared" si="1"/>
        <v>134</v>
      </c>
      <c r="N17">
        <v>8</v>
      </c>
      <c r="O17">
        <v>47</v>
      </c>
      <c r="P17">
        <v>41</v>
      </c>
      <c r="Q17">
        <v>42</v>
      </c>
      <c r="R17">
        <v>41</v>
      </c>
      <c r="S17">
        <v>40</v>
      </c>
      <c r="T17">
        <v>40</v>
      </c>
      <c r="U17">
        <v>43</v>
      </c>
      <c r="V17">
        <v>39</v>
      </c>
      <c r="W17">
        <v>40</v>
      </c>
      <c r="X17">
        <v>1155</v>
      </c>
      <c r="Y17">
        <f t="shared" si="2"/>
        <v>385</v>
      </c>
      <c r="AA17">
        <v>8</v>
      </c>
      <c r="AB17">
        <v>187</v>
      </c>
      <c r="AC17">
        <v>187</v>
      </c>
      <c r="AD17">
        <v>190</v>
      </c>
      <c r="AE17">
        <v>188</v>
      </c>
      <c r="AF17">
        <v>190</v>
      </c>
      <c r="AG17">
        <v>195</v>
      </c>
      <c r="AH17">
        <v>186</v>
      </c>
      <c r="AI17">
        <v>194</v>
      </c>
      <c r="AJ17">
        <v>198</v>
      </c>
      <c r="AK17">
        <v>5183</v>
      </c>
      <c r="AL17">
        <f t="shared" si="3"/>
        <v>1727.6666666666667</v>
      </c>
    </row>
    <row r="18" spans="1:38" x14ac:dyDescent="0.25">
      <c r="A18">
        <v>9</v>
      </c>
      <c r="B18">
        <v>13</v>
      </c>
      <c r="C18">
        <v>14</v>
      </c>
      <c r="D18">
        <v>13</v>
      </c>
      <c r="E18">
        <v>13</v>
      </c>
      <c r="F18">
        <v>13</v>
      </c>
      <c r="G18">
        <v>13</v>
      </c>
      <c r="H18">
        <v>13</v>
      </c>
      <c r="I18">
        <v>14</v>
      </c>
      <c r="J18">
        <v>13</v>
      </c>
      <c r="K18">
        <v>390</v>
      </c>
      <c r="L18">
        <f t="shared" si="1"/>
        <v>130</v>
      </c>
      <c r="N18">
        <v>9</v>
      </c>
      <c r="O18">
        <v>41</v>
      </c>
      <c r="P18">
        <v>43</v>
      </c>
      <c r="Q18">
        <v>42</v>
      </c>
      <c r="R18">
        <v>44</v>
      </c>
      <c r="S18">
        <v>43</v>
      </c>
      <c r="T18">
        <v>44</v>
      </c>
      <c r="U18">
        <v>43</v>
      </c>
      <c r="V18">
        <v>47</v>
      </c>
      <c r="W18">
        <v>41</v>
      </c>
      <c r="X18">
        <v>1197</v>
      </c>
      <c r="Y18">
        <f t="shared" si="2"/>
        <v>399</v>
      </c>
      <c r="AA18">
        <v>9</v>
      </c>
      <c r="AB18">
        <v>201</v>
      </c>
      <c r="AC18">
        <v>196</v>
      </c>
      <c r="AD18">
        <v>196</v>
      </c>
      <c r="AE18">
        <v>195</v>
      </c>
      <c r="AF18">
        <v>211</v>
      </c>
      <c r="AG18">
        <v>200</v>
      </c>
      <c r="AH18">
        <v>194</v>
      </c>
      <c r="AI18">
        <v>199</v>
      </c>
      <c r="AJ18">
        <v>198</v>
      </c>
      <c r="AK18">
        <v>5404</v>
      </c>
      <c r="AL18">
        <f t="shared" si="3"/>
        <v>1801.3333333333333</v>
      </c>
    </row>
    <row r="19" spans="1:38" x14ac:dyDescent="0.25">
      <c r="A19">
        <v>10</v>
      </c>
      <c r="B19">
        <v>13</v>
      </c>
      <c r="C19">
        <v>13</v>
      </c>
      <c r="D19">
        <v>13</v>
      </c>
      <c r="E19">
        <v>13</v>
      </c>
      <c r="F19">
        <v>15</v>
      </c>
      <c r="G19">
        <v>15</v>
      </c>
      <c r="H19">
        <v>13</v>
      </c>
      <c r="I19">
        <v>13</v>
      </c>
      <c r="J19">
        <v>13</v>
      </c>
      <c r="K19">
        <v>405</v>
      </c>
      <c r="L19">
        <f t="shared" si="1"/>
        <v>135</v>
      </c>
      <c r="N19">
        <v>10</v>
      </c>
      <c r="O19">
        <v>42</v>
      </c>
      <c r="P19">
        <v>45</v>
      </c>
      <c r="Q19">
        <v>41</v>
      </c>
      <c r="R19">
        <v>41</v>
      </c>
      <c r="S19">
        <v>41</v>
      </c>
      <c r="T19">
        <v>40</v>
      </c>
      <c r="U19">
        <v>41</v>
      </c>
      <c r="V19">
        <v>41</v>
      </c>
      <c r="W19">
        <v>40</v>
      </c>
      <c r="X19">
        <v>1152</v>
      </c>
      <c r="Y19">
        <f t="shared" si="2"/>
        <v>384</v>
      </c>
      <c r="AA19">
        <v>10</v>
      </c>
      <c r="AB19">
        <v>209</v>
      </c>
      <c r="AC19">
        <v>213</v>
      </c>
      <c r="AD19">
        <v>214</v>
      </c>
      <c r="AE19">
        <v>213</v>
      </c>
      <c r="AF19">
        <v>233</v>
      </c>
      <c r="AG19">
        <v>234</v>
      </c>
      <c r="AH19">
        <v>211</v>
      </c>
      <c r="AI19">
        <v>209</v>
      </c>
      <c r="AJ19">
        <v>226</v>
      </c>
      <c r="AK19">
        <v>5923</v>
      </c>
      <c r="AL19">
        <f t="shared" si="3"/>
        <v>1974.3333333333333</v>
      </c>
    </row>
    <row r="20" spans="1:38" x14ac:dyDescent="0.25">
      <c r="A20">
        <v>11</v>
      </c>
      <c r="B20">
        <v>14</v>
      </c>
      <c r="C20">
        <v>15</v>
      </c>
      <c r="D20">
        <v>18</v>
      </c>
      <c r="E20">
        <v>17</v>
      </c>
      <c r="F20">
        <v>26</v>
      </c>
      <c r="G20">
        <v>26</v>
      </c>
      <c r="H20">
        <v>16</v>
      </c>
      <c r="I20">
        <v>17</v>
      </c>
      <c r="J20">
        <v>15</v>
      </c>
      <c r="K20">
        <v>530</v>
      </c>
      <c r="L20">
        <f t="shared" si="1"/>
        <v>176.66666666666666</v>
      </c>
      <c r="N20">
        <v>11</v>
      </c>
      <c r="O20">
        <v>46</v>
      </c>
      <c r="P20">
        <v>41</v>
      </c>
      <c r="Q20">
        <v>40</v>
      </c>
      <c r="R20">
        <v>40</v>
      </c>
      <c r="S20">
        <v>41</v>
      </c>
      <c r="T20">
        <v>42</v>
      </c>
      <c r="U20">
        <v>40</v>
      </c>
      <c r="V20">
        <v>41</v>
      </c>
      <c r="W20">
        <v>40</v>
      </c>
      <c r="X20">
        <v>1153</v>
      </c>
      <c r="Y20">
        <f t="shared" si="2"/>
        <v>384.33333333333331</v>
      </c>
      <c r="AA20">
        <v>11</v>
      </c>
      <c r="AB20">
        <v>232</v>
      </c>
      <c r="AC20">
        <v>261</v>
      </c>
      <c r="AD20">
        <v>256</v>
      </c>
      <c r="AE20">
        <v>271</v>
      </c>
      <c r="AF20">
        <v>302</v>
      </c>
      <c r="AG20">
        <v>285</v>
      </c>
      <c r="AH20">
        <v>288</v>
      </c>
      <c r="AI20">
        <v>282</v>
      </c>
      <c r="AJ20">
        <v>279</v>
      </c>
      <c r="AK20">
        <v>7409</v>
      </c>
      <c r="AL20">
        <f t="shared" si="3"/>
        <v>2469.6666666666665</v>
      </c>
    </row>
    <row r="21" spans="1:38" x14ac:dyDescent="0.25">
      <c r="A21">
        <v>12</v>
      </c>
      <c r="B21">
        <v>20</v>
      </c>
      <c r="C21">
        <v>27</v>
      </c>
      <c r="D21">
        <v>44</v>
      </c>
      <c r="E21">
        <v>45</v>
      </c>
      <c r="F21">
        <v>99</v>
      </c>
      <c r="G21">
        <v>105</v>
      </c>
      <c r="H21">
        <v>38</v>
      </c>
      <c r="I21">
        <v>38</v>
      </c>
      <c r="J21">
        <v>28</v>
      </c>
      <c r="K21">
        <v>1374</v>
      </c>
      <c r="L21">
        <f t="shared" si="1"/>
        <v>458</v>
      </c>
      <c r="N21">
        <v>12</v>
      </c>
      <c r="O21">
        <v>46</v>
      </c>
      <c r="P21">
        <v>43</v>
      </c>
      <c r="Q21">
        <v>48</v>
      </c>
      <c r="R21">
        <v>49</v>
      </c>
      <c r="S21">
        <v>64</v>
      </c>
      <c r="T21">
        <v>63</v>
      </c>
      <c r="U21">
        <v>51</v>
      </c>
      <c r="V21">
        <v>51</v>
      </c>
      <c r="W21">
        <v>45</v>
      </c>
      <c r="X21">
        <v>1417</v>
      </c>
      <c r="Y21">
        <f t="shared" si="2"/>
        <v>472.33333333333331</v>
      </c>
      <c r="AA21">
        <v>12</v>
      </c>
      <c r="AB21">
        <v>290</v>
      </c>
      <c r="AC21">
        <v>355</v>
      </c>
      <c r="AD21">
        <v>318</v>
      </c>
      <c r="AE21">
        <v>360</v>
      </c>
      <c r="AF21">
        <v>390</v>
      </c>
      <c r="AG21">
        <v>395</v>
      </c>
      <c r="AH21">
        <v>351</v>
      </c>
      <c r="AI21">
        <v>366</v>
      </c>
      <c r="AJ21">
        <v>402</v>
      </c>
      <c r="AK21">
        <v>9725</v>
      </c>
      <c r="AL21">
        <f t="shared" si="3"/>
        <v>3241.6666666666665</v>
      </c>
    </row>
    <row r="22" spans="1:38" x14ac:dyDescent="0.25">
      <c r="A22">
        <v>13</v>
      </c>
      <c r="B22">
        <v>65</v>
      </c>
      <c r="C22">
        <v>98</v>
      </c>
      <c r="D22">
        <v>240</v>
      </c>
      <c r="E22">
        <v>254</v>
      </c>
      <c r="F22">
        <v>670</v>
      </c>
      <c r="G22">
        <v>686</v>
      </c>
      <c r="H22">
        <v>193</v>
      </c>
      <c r="I22">
        <v>202</v>
      </c>
      <c r="J22">
        <v>117</v>
      </c>
      <c r="K22">
        <v>7617</v>
      </c>
      <c r="L22">
        <f t="shared" si="1"/>
        <v>2539</v>
      </c>
      <c r="N22">
        <v>13</v>
      </c>
      <c r="O22">
        <v>68</v>
      </c>
      <c r="P22">
        <v>73</v>
      </c>
      <c r="Q22">
        <v>106</v>
      </c>
      <c r="R22">
        <v>107</v>
      </c>
      <c r="S22">
        <v>211</v>
      </c>
      <c r="T22">
        <v>224</v>
      </c>
      <c r="U22">
        <v>101</v>
      </c>
      <c r="V22">
        <v>107</v>
      </c>
      <c r="W22">
        <v>80</v>
      </c>
      <c r="X22">
        <v>3271</v>
      </c>
      <c r="Y22">
        <f t="shared" si="2"/>
        <v>1090.3333333333333</v>
      </c>
      <c r="AA22">
        <v>13</v>
      </c>
      <c r="AB22">
        <v>427</v>
      </c>
      <c r="AC22">
        <v>637</v>
      </c>
      <c r="AD22">
        <v>536</v>
      </c>
      <c r="AE22">
        <v>537</v>
      </c>
      <c r="AF22">
        <v>744</v>
      </c>
      <c r="AG22">
        <v>737</v>
      </c>
      <c r="AH22">
        <v>586</v>
      </c>
      <c r="AI22">
        <v>530</v>
      </c>
      <c r="AJ22">
        <v>664</v>
      </c>
      <c r="AK22">
        <v>16232</v>
      </c>
      <c r="AL22">
        <f t="shared" si="3"/>
        <v>5410.666666666667</v>
      </c>
    </row>
    <row r="23" spans="1:38" x14ac:dyDescent="0.25">
      <c r="A23">
        <v>14</v>
      </c>
      <c r="B23">
        <v>399</v>
      </c>
      <c r="C23">
        <v>664</v>
      </c>
      <c r="D23">
        <v>1831</v>
      </c>
      <c r="E23">
        <v>1922</v>
      </c>
      <c r="F23">
        <v>5150</v>
      </c>
      <c r="G23">
        <v>5264</v>
      </c>
      <c r="H23">
        <v>1392</v>
      </c>
      <c r="I23">
        <v>1479</v>
      </c>
      <c r="J23">
        <v>791</v>
      </c>
      <c r="K23">
        <v>56722</v>
      </c>
      <c r="L23">
        <f t="shared" si="1"/>
        <v>18907.333333333332</v>
      </c>
      <c r="N23">
        <v>14</v>
      </c>
      <c r="O23">
        <v>230</v>
      </c>
      <c r="P23">
        <v>292</v>
      </c>
      <c r="Q23">
        <v>554</v>
      </c>
      <c r="R23">
        <v>572</v>
      </c>
      <c r="S23">
        <v>1294</v>
      </c>
      <c r="T23">
        <v>1307</v>
      </c>
      <c r="U23">
        <v>447</v>
      </c>
      <c r="V23">
        <v>482</v>
      </c>
      <c r="W23">
        <v>322</v>
      </c>
      <c r="X23">
        <v>16541</v>
      </c>
      <c r="Y23">
        <f t="shared" si="2"/>
        <v>5513.666666666667</v>
      </c>
      <c r="AA23">
        <v>14</v>
      </c>
      <c r="AB23">
        <v>860</v>
      </c>
      <c r="AC23">
        <v>1573</v>
      </c>
      <c r="AD23">
        <v>1438</v>
      </c>
      <c r="AE23">
        <v>1637</v>
      </c>
      <c r="AF23">
        <v>3010</v>
      </c>
      <c r="AG23">
        <v>2687</v>
      </c>
      <c r="AH23">
        <v>1623</v>
      </c>
      <c r="AI23">
        <v>1671</v>
      </c>
      <c r="AJ23">
        <v>2237</v>
      </c>
      <c r="AK23">
        <v>50247</v>
      </c>
      <c r="AL23">
        <f t="shared" si="3"/>
        <v>16749</v>
      </c>
    </row>
    <row r="24" spans="1:38" x14ac:dyDescent="0.25">
      <c r="A24">
        <v>15</v>
      </c>
      <c r="B24">
        <v>2912</v>
      </c>
      <c r="C24">
        <v>5182</v>
      </c>
      <c r="D24">
        <v>15300</v>
      </c>
      <c r="E24">
        <v>15722</v>
      </c>
      <c r="F24">
        <v>41552</v>
      </c>
      <c r="G24">
        <v>41938</v>
      </c>
      <c r="H24">
        <v>11116</v>
      </c>
      <c r="I24">
        <v>11676</v>
      </c>
      <c r="J24">
        <v>5974</v>
      </c>
      <c r="K24">
        <v>454155</v>
      </c>
      <c r="L24">
        <f t="shared" si="1"/>
        <v>151385</v>
      </c>
      <c r="N24">
        <v>15</v>
      </c>
      <c r="O24">
        <v>1355</v>
      </c>
      <c r="P24">
        <v>1878</v>
      </c>
      <c r="Q24">
        <v>3940</v>
      </c>
      <c r="R24">
        <v>4139</v>
      </c>
      <c r="S24">
        <v>9927</v>
      </c>
      <c r="T24">
        <v>10033</v>
      </c>
      <c r="U24">
        <v>3161</v>
      </c>
      <c r="V24">
        <v>3269</v>
      </c>
      <c r="W24">
        <v>2082</v>
      </c>
      <c r="X24">
        <v>119391</v>
      </c>
      <c r="Y24">
        <f t="shared" si="2"/>
        <v>39797</v>
      </c>
      <c r="AA24">
        <v>15</v>
      </c>
      <c r="AB24">
        <v>2909</v>
      </c>
      <c r="AC24">
        <v>8378</v>
      </c>
      <c r="AD24">
        <v>8184</v>
      </c>
      <c r="AE24">
        <v>7824</v>
      </c>
      <c r="AF24">
        <v>19978</v>
      </c>
      <c r="AG24">
        <v>17542</v>
      </c>
      <c r="AH24">
        <v>8993</v>
      </c>
      <c r="AI24">
        <v>8786</v>
      </c>
      <c r="AJ24">
        <v>10597</v>
      </c>
      <c r="AK24">
        <v>279615</v>
      </c>
      <c r="AL24">
        <f t="shared" si="3"/>
        <v>93205</v>
      </c>
    </row>
    <row r="25" spans="1:38" x14ac:dyDescent="0.25">
      <c r="A25" t="s">
        <v>2</v>
      </c>
      <c r="N25">
        <v>16</v>
      </c>
      <c r="O25">
        <v>9776</v>
      </c>
      <c r="P25">
        <v>14007</v>
      </c>
      <c r="Q25">
        <v>32938</v>
      </c>
      <c r="R25">
        <v>33893</v>
      </c>
      <c r="S25">
        <v>81591</v>
      </c>
      <c r="T25">
        <v>81046</v>
      </c>
      <c r="U25">
        <v>24607</v>
      </c>
      <c r="V25">
        <v>25657</v>
      </c>
      <c r="W25">
        <v>15460</v>
      </c>
      <c r="X25">
        <v>956966</v>
      </c>
      <c r="Y25">
        <f t="shared" si="2"/>
        <v>318988.66666666669</v>
      </c>
      <c r="AA25" t="s">
        <v>4</v>
      </c>
    </row>
    <row r="26" spans="1:38" x14ac:dyDescent="0.25">
      <c r="N26" t="s">
        <v>3</v>
      </c>
    </row>
    <row r="27" spans="1:38" s="1" customFormat="1" x14ac:dyDescent="0.25"/>
    <row r="28" spans="1:38" x14ac:dyDescent="0.25">
      <c r="A28" t="s">
        <v>29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N28" t="s">
        <v>25</v>
      </c>
      <c r="O28" t="s">
        <v>12</v>
      </c>
      <c r="P28" t="s">
        <v>13</v>
      </c>
      <c r="Q28" t="s">
        <v>14</v>
      </c>
      <c r="R28" t="s">
        <v>15</v>
      </c>
      <c r="S28" t="s">
        <v>16</v>
      </c>
      <c r="T28" t="s">
        <v>17</v>
      </c>
      <c r="U28" t="s">
        <v>18</v>
      </c>
      <c r="V28" t="s">
        <v>19</v>
      </c>
      <c r="W28" t="s">
        <v>20</v>
      </c>
      <c r="X28" t="s">
        <v>21</v>
      </c>
      <c r="AA28" t="s">
        <v>32</v>
      </c>
      <c r="AB28" t="s">
        <v>12</v>
      </c>
      <c r="AC28" t="s">
        <v>13</v>
      </c>
      <c r="AD28" t="s">
        <v>14</v>
      </c>
      <c r="AE28" t="s">
        <v>15</v>
      </c>
      <c r="AF28" t="s">
        <v>16</v>
      </c>
      <c r="AG28" t="s">
        <v>17</v>
      </c>
      <c r="AH28" t="s">
        <v>18</v>
      </c>
      <c r="AI28" t="s">
        <v>19</v>
      </c>
      <c r="AJ28" t="s">
        <v>20</v>
      </c>
      <c r="AK28" t="s">
        <v>21</v>
      </c>
    </row>
    <row r="29" spans="1:38" x14ac:dyDescent="0.25">
      <c r="A29">
        <v>6</v>
      </c>
      <c r="B29">
        <v>74</v>
      </c>
      <c r="C29">
        <v>67</v>
      </c>
      <c r="D29">
        <v>66</v>
      </c>
      <c r="E29">
        <v>75</v>
      </c>
      <c r="F29">
        <v>69</v>
      </c>
      <c r="G29">
        <v>69</v>
      </c>
      <c r="H29">
        <v>67</v>
      </c>
      <c r="I29">
        <v>66</v>
      </c>
      <c r="J29">
        <v>66</v>
      </c>
      <c r="K29">
        <v>1896</v>
      </c>
      <c r="L29">
        <f>K29/3</f>
        <v>632</v>
      </c>
      <c r="N29">
        <v>6</v>
      </c>
      <c r="O29">
        <v>78</v>
      </c>
      <c r="P29">
        <v>79</v>
      </c>
      <c r="Q29">
        <v>78</v>
      </c>
      <c r="R29">
        <v>85</v>
      </c>
      <c r="S29">
        <v>75</v>
      </c>
      <c r="T29">
        <v>75</v>
      </c>
      <c r="U29">
        <v>74</v>
      </c>
      <c r="V29">
        <v>76</v>
      </c>
      <c r="W29">
        <v>73</v>
      </c>
      <c r="X29">
        <v>2116</v>
      </c>
      <c r="Y29">
        <f t="shared" si="2"/>
        <v>705.33333333333337</v>
      </c>
      <c r="AA29">
        <v>6</v>
      </c>
      <c r="AB29">
        <v>69</v>
      </c>
      <c r="AC29">
        <v>67</v>
      </c>
      <c r="AD29">
        <v>70</v>
      </c>
      <c r="AE29">
        <v>67</v>
      </c>
      <c r="AF29">
        <v>69</v>
      </c>
      <c r="AG29">
        <v>68</v>
      </c>
      <c r="AH29">
        <v>68</v>
      </c>
      <c r="AI29">
        <v>68</v>
      </c>
      <c r="AJ29">
        <v>69</v>
      </c>
      <c r="AK29">
        <v>1886</v>
      </c>
      <c r="AL29">
        <f t="shared" si="3"/>
        <v>628.66666666666663</v>
      </c>
    </row>
    <row r="30" spans="1:38" x14ac:dyDescent="0.25">
      <c r="A30">
        <v>7</v>
      </c>
      <c r="B30">
        <v>68</v>
      </c>
      <c r="C30">
        <v>64</v>
      </c>
      <c r="D30">
        <v>65</v>
      </c>
      <c r="E30">
        <v>65</v>
      </c>
      <c r="F30">
        <v>70</v>
      </c>
      <c r="G30">
        <v>69</v>
      </c>
      <c r="H30">
        <v>65</v>
      </c>
      <c r="I30">
        <v>66</v>
      </c>
      <c r="J30">
        <v>68</v>
      </c>
      <c r="K30">
        <v>1838</v>
      </c>
      <c r="L30">
        <f t="shared" ref="L30:L38" si="4">K30/3</f>
        <v>612.66666666666663</v>
      </c>
      <c r="N30">
        <v>7</v>
      </c>
      <c r="O30">
        <v>72</v>
      </c>
      <c r="P30">
        <v>81</v>
      </c>
      <c r="Q30">
        <v>79</v>
      </c>
      <c r="R30">
        <v>75</v>
      </c>
      <c r="S30">
        <v>76</v>
      </c>
      <c r="T30">
        <v>74</v>
      </c>
      <c r="U30">
        <v>78</v>
      </c>
      <c r="V30">
        <v>78</v>
      </c>
      <c r="W30">
        <v>75</v>
      </c>
      <c r="X30">
        <v>2105</v>
      </c>
      <c r="Y30">
        <f t="shared" si="2"/>
        <v>701.66666666666663</v>
      </c>
      <c r="AA30">
        <v>7</v>
      </c>
      <c r="AB30">
        <v>68</v>
      </c>
      <c r="AC30">
        <v>66</v>
      </c>
      <c r="AD30">
        <v>66</v>
      </c>
      <c r="AE30">
        <v>69</v>
      </c>
      <c r="AF30">
        <v>71</v>
      </c>
      <c r="AG30">
        <v>77</v>
      </c>
      <c r="AH30">
        <v>67</v>
      </c>
      <c r="AI30">
        <v>67</v>
      </c>
      <c r="AJ30">
        <v>72</v>
      </c>
      <c r="AK30">
        <v>1909</v>
      </c>
      <c r="AL30">
        <f t="shared" si="3"/>
        <v>636.33333333333337</v>
      </c>
    </row>
    <row r="31" spans="1:38" x14ac:dyDescent="0.25">
      <c r="A31">
        <v>8</v>
      </c>
      <c r="B31">
        <v>68</v>
      </c>
      <c r="C31">
        <v>70</v>
      </c>
      <c r="D31">
        <v>70</v>
      </c>
      <c r="E31">
        <v>69</v>
      </c>
      <c r="F31">
        <v>71</v>
      </c>
      <c r="G31">
        <v>70</v>
      </c>
      <c r="H31">
        <v>71</v>
      </c>
      <c r="I31">
        <v>66</v>
      </c>
      <c r="J31">
        <v>67</v>
      </c>
      <c r="K31">
        <v>1909</v>
      </c>
      <c r="L31">
        <f t="shared" si="4"/>
        <v>636.33333333333337</v>
      </c>
      <c r="N31">
        <v>8</v>
      </c>
      <c r="O31">
        <v>76</v>
      </c>
      <c r="P31">
        <v>76</v>
      </c>
      <c r="Q31">
        <v>76</v>
      </c>
      <c r="R31">
        <v>78</v>
      </c>
      <c r="S31">
        <v>79</v>
      </c>
      <c r="T31">
        <v>78</v>
      </c>
      <c r="U31">
        <v>78</v>
      </c>
      <c r="V31">
        <v>78</v>
      </c>
      <c r="W31">
        <v>75</v>
      </c>
      <c r="X31">
        <v>2123</v>
      </c>
      <c r="Y31">
        <f t="shared" si="2"/>
        <v>707.66666666666663</v>
      </c>
      <c r="AA31">
        <v>8</v>
      </c>
      <c r="AB31">
        <v>69</v>
      </c>
      <c r="AC31">
        <v>68</v>
      </c>
      <c r="AD31">
        <v>69</v>
      </c>
      <c r="AE31">
        <v>68</v>
      </c>
      <c r="AF31">
        <v>71</v>
      </c>
      <c r="AG31">
        <v>70</v>
      </c>
      <c r="AH31">
        <v>70</v>
      </c>
      <c r="AI31">
        <v>70</v>
      </c>
      <c r="AJ31">
        <v>71</v>
      </c>
      <c r="AK31">
        <v>1923</v>
      </c>
      <c r="AL31">
        <f t="shared" si="3"/>
        <v>641</v>
      </c>
    </row>
    <row r="32" spans="1:38" x14ac:dyDescent="0.25">
      <c r="A32">
        <v>9</v>
      </c>
      <c r="B32">
        <v>68</v>
      </c>
      <c r="C32">
        <v>72</v>
      </c>
      <c r="D32">
        <v>75</v>
      </c>
      <c r="E32">
        <v>70</v>
      </c>
      <c r="F32">
        <v>81</v>
      </c>
      <c r="G32">
        <v>76</v>
      </c>
      <c r="H32">
        <v>71</v>
      </c>
      <c r="I32">
        <v>73</v>
      </c>
      <c r="J32">
        <v>72</v>
      </c>
      <c r="K32">
        <v>2012</v>
      </c>
      <c r="L32">
        <f t="shared" si="4"/>
        <v>670.66666666666663</v>
      </c>
      <c r="N32">
        <v>9</v>
      </c>
      <c r="O32">
        <v>78</v>
      </c>
      <c r="P32">
        <v>95</v>
      </c>
      <c r="Q32">
        <v>90</v>
      </c>
      <c r="R32">
        <v>84</v>
      </c>
      <c r="S32">
        <v>98</v>
      </c>
      <c r="T32">
        <v>101</v>
      </c>
      <c r="U32">
        <v>85</v>
      </c>
      <c r="V32">
        <v>84</v>
      </c>
      <c r="W32">
        <v>94</v>
      </c>
      <c r="X32">
        <v>2469</v>
      </c>
      <c r="Y32">
        <f t="shared" si="2"/>
        <v>823</v>
      </c>
      <c r="AA32">
        <v>9</v>
      </c>
      <c r="AB32">
        <v>73</v>
      </c>
      <c r="AC32">
        <v>73</v>
      </c>
      <c r="AD32">
        <v>72</v>
      </c>
      <c r="AE32">
        <v>71</v>
      </c>
      <c r="AF32">
        <v>81</v>
      </c>
      <c r="AG32">
        <v>77</v>
      </c>
      <c r="AH32">
        <v>72</v>
      </c>
      <c r="AI32">
        <v>69</v>
      </c>
      <c r="AJ32">
        <v>74</v>
      </c>
      <c r="AK32">
        <v>2028</v>
      </c>
      <c r="AL32">
        <f t="shared" si="3"/>
        <v>676</v>
      </c>
    </row>
    <row r="33" spans="1:38" x14ac:dyDescent="0.25">
      <c r="A33">
        <v>10</v>
      </c>
      <c r="B33">
        <v>71</v>
      </c>
      <c r="C33">
        <v>81</v>
      </c>
      <c r="D33">
        <v>81</v>
      </c>
      <c r="E33">
        <v>78</v>
      </c>
      <c r="F33">
        <v>87</v>
      </c>
      <c r="G33">
        <v>83</v>
      </c>
      <c r="H33">
        <v>81</v>
      </c>
      <c r="I33">
        <v>82</v>
      </c>
      <c r="J33">
        <v>81</v>
      </c>
      <c r="K33">
        <v>2220</v>
      </c>
      <c r="L33">
        <f t="shared" si="4"/>
        <v>740</v>
      </c>
      <c r="N33">
        <v>10</v>
      </c>
      <c r="O33">
        <v>98</v>
      </c>
      <c r="P33">
        <v>112</v>
      </c>
      <c r="Q33">
        <v>109</v>
      </c>
      <c r="R33">
        <v>104</v>
      </c>
      <c r="S33">
        <v>154</v>
      </c>
      <c r="T33">
        <v>149</v>
      </c>
      <c r="U33">
        <v>110</v>
      </c>
      <c r="V33">
        <v>108</v>
      </c>
      <c r="W33">
        <v>122</v>
      </c>
      <c r="X33">
        <v>3237</v>
      </c>
      <c r="Y33">
        <f t="shared" si="2"/>
        <v>1079</v>
      </c>
      <c r="AA33">
        <v>10</v>
      </c>
      <c r="AB33">
        <v>77</v>
      </c>
      <c r="AC33">
        <v>85</v>
      </c>
      <c r="AD33">
        <v>79</v>
      </c>
      <c r="AE33">
        <v>79</v>
      </c>
      <c r="AF33">
        <v>94</v>
      </c>
      <c r="AG33">
        <v>92</v>
      </c>
      <c r="AH33">
        <v>81</v>
      </c>
      <c r="AI33">
        <v>79</v>
      </c>
      <c r="AJ33">
        <v>91</v>
      </c>
      <c r="AK33">
        <v>2310</v>
      </c>
      <c r="AL33">
        <f t="shared" si="3"/>
        <v>770</v>
      </c>
    </row>
    <row r="34" spans="1:38" x14ac:dyDescent="0.25">
      <c r="A34">
        <v>11</v>
      </c>
      <c r="B34">
        <v>85</v>
      </c>
      <c r="C34">
        <v>103</v>
      </c>
      <c r="D34">
        <v>96</v>
      </c>
      <c r="E34">
        <v>100</v>
      </c>
      <c r="F34">
        <v>117</v>
      </c>
      <c r="G34">
        <v>122</v>
      </c>
      <c r="H34">
        <v>103</v>
      </c>
      <c r="I34">
        <v>99</v>
      </c>
      <c r="J34">
        <v>113</v>
      </c>
      <c r="K34">
        <v>2852</v>
      </c>
      <c r="L34">
        <f t="shared" si="4"/>
        <v>950.66666666666663</v>
      </c>
      <c r="N34">
        <v>11</v>
      </c>
      <c r="O34">
        <v>124</v>
      </c>
      <c r="P34">
        <v>200</v>
      </c>
      <c r="Q34">
        <v>214</v>
      </c>
      <c r="R34">
        <v>170</v>
      </c>
      <c r="S34">
        <v>376</v>
      </c>
      <c r="T34">
        <v>363</v>
      </c>
      <c r="U34">
        <v>225</v>
      </c>
      <c r="V34">
        <v>189</v>
      </c>
      <c r="W34">
        <v>238</v>
      </c>
      <c r="X34">
        <v>6339</v>
      </c>
      <c r="Y34">
        <f t="shared" si="2"/>
        <v>2113</v>
      </c>
      <c r="AA34">
        <v>11</v>
      </c>
      <c r="AB34">
        <v>94</v>
      </c>
      <c r="AC34">
        <v>109</v>
      </c>
      <c r="AD34">
        <v>99</v>
      </c>
      <c r="AE34">
        <v>95</v>
      </c>
      <c r="AF34">
        <v>141</v>
      </c>
      <c r="AG34">
        <v>134</v>
      </c>
      <c r="AH34">
        <v>102</v>
      </c>
      <c r="AI34">
        <v>94</v>
      </c>
      <c r="AJ34">
        <v>119</v>
      </c>
      <c r="AK34">
        <v>3001</v>
      </c>
      <c r="AL34">
        <f t="shared" si="3"/>
        <v>1000.3333333333334</v>
      </c>
    </row>
    <row r="35" spans="1:38" x14ac:dyDescent="0.25">
      <c r="A35">
        <v>12</v>
      </c>
      <c r="B35">
        <v>120</v>
      </c>
      <c r="C35">
        <v>172</v>
      </c>
      <c r="D35">
        <v>162</v>
      </c>
      <c r="E35">
        <v>159</v>
      </c>
      <c r="F35">
        <v>256</v>
      </c>
      <c r="G35">
        <v>265</v>
      </c>
      <c r="H35">
        <v>173</v>
      </c>
      <c r="I35">
        <v>173</v>
      </c>
      <c r="J35">
        <v>200</v>
      </c>
      <c r="K35">
        <v>5080</v>
      </c>
      <c r="L35">
        <f t="shared" si="4"/>
        <v>1693.3333333333333</v>
      </c>
      <c r="N35">
        <v>12</v>
      </c>
      <c r="O35">
        <v>237</v>
      </c>
      <c r="P35">
        <v>565</v>
      </c>
      <c r="Q35">
        <v>1078</v>
      </c>
      <c r="R35">
        <v>746</v>
      </c>
      <c r="S35">
        <v>1600</v>
      </c>
      <c r="T35">
        <v>1463</v>
      </c>
      <c r="U35">
        <v>1223</v>
      </c>
      <c r="V35">
        <v>916</v>
      </c>
      <c r="W35">
        <v>839</v>
      </c>
      <c r="X35">
        <v>26045</v>
      </c>
      <c r="Y35">
        <f t="shared" si="2"/>
        <v>8681.6666666666661</v>
      </c>
      <c r="AA35">
        <v>12</v>
      </c>
      <c r="AB35">
        <v>139</v>
      </c>
      <c r="AC35">
        <v>193</v>
      </c>
      <c r="AD35">
        <v>225</v>
      </c>
      <c r="AE35">
        <v>165</v>
      </c>
      <c r="AF35">
        <v>331</v>
      </c>
      <c r="AG35">
        <v>311</v>
      </c>
      <c r="AH35">
        <v>222</v>
      </c>
      <c r="AI35">
        <v>174</v>
      </c>
      <c r="AJ35">
        <v>229</v>
      </c>
      <c r="AK35">
        <v>6004</v>
      </c>
      <c r="AL35">
        <f t="shared" si="3"/>
        <v>2001.3333333333333</v>
      </c>
    </row>
    <row r="36" spans="1:38" x14ac:dyDescent="0.25">
      <c r="A36">
        <v>13</v>
      </c>
      <c r="B36">
        <v>241</v>
      </c>
      <c r="C36">
        <v>565</v>
      </c>
      <c r="D36">
        <v>528</v>
      </c>
      <c r="E36">
        <v>499</v>
      </c>
      <c r="F36">
        <v>1304</v>
      </c>
      <c r="G36">
        <v>1147</v>
      </c>
      <c r="H36">
        <v>614</v>
      </c>
      <c r="I36">
        <v>582</v>
      </c>
      <c r="J36">
        <v>713</v>
      </c>
      <c r="K36">
        <v>18623</v>
      </c>
      <c r="L36">
        <f t="shared" si="4"/>
        <v>6207.666666666667</v>
      </c>
      <c r="N36">
        <v>13</v>
      </c>
      <c r="O36">
        <v>644</v>
      </c>
      <c r="P36">
        <v>3192</v>
      </c>
      <c r="Q36">
        <v>10946</v>
      </c>
      <c r="R36">
        <v>6563</v>
      </c>
      <c r="S36">
        <v>11286</v>
      </c>
      <c r="T36">
        <v>9964</v>
      </c>
      <c r="U36">
        <v>11852</v>
      </c>
      <c r="V36">
        <v>8554</v>
      </c>
      <c r="W36">
        <v>5019</v>
      </c>
      <c r="X36">
        <v>204099</v>
      </c>
      <c r="Y36">
        <f t="shared" si="2"/>
        <v>68033</v>
      </c>
      <c r="AA36">
        <v>13</v>
      </c>
      <c r="AB36">
        <v>265</v>
      </c>
      <c r="AC36">
        <v>592</v>
      </c>
      <c r="AD36">
        <v>1255</v>
      </c>
      <c r="AE36">
        <v>649</v>
      </c>
      <c r="AF36">
        <v>1537</v>
      </c>
      <c r="AG36">
        <v>1321</v>
      </c>
      <c r="AH36">
        <v>1156</v>
      </c>
      <c r="AI36">
        <v>728</v>
      </c>
      <c r="AJ36">
        <v>775</v>
      </c>
      <c r="AK36">
        <v>24874</v>
      </c>
      <c r="AL36">
        <f t="shared" si="3"/>
        <v>8291.3333333333339</v>
      </c>
    </row>
    <row r="37" spans="1:38" x14ac:dyDescent="0.25">
      <c r="A37">
        <v>14</v>
      </c>
      <c r="B37">
        <v>936</v>
      </c>
      <c r="C37">
        <v>3198</v>
      </c>
      <c r="D37">
        <v>3265</v>
      </c>
      <c r="E37">
        <v>3020</v>
      </c>
      <c r="F37">
        <v>8557</v>
      </c>
      <c r="G37">
        <v>7575</v>
      </c>
      <c r="H37">
        <v>3596</v>
      </c>
      <c r="I37">
        <v>3488</v>
      </c>
      <c r="J37">
        <v>4355</v>
      </c>
      <c r="K37">
        <v>114010</v>
      </c>
      <c r="L37">
        <f t="shared" si="4"/>
        <v>38003.333333333336</v>
      </c>
      <c r="N37">
        <v>14</v>
      </c>
      <c r="O37">
        <v>3494</v>
      </c>
      <c r="P37">
        <v>25058</v>
      </c>
      <c r="Q37">
        <v>130490</v>
      </c>
      <c r="R37">
        <v>73538</v>
      </c>
      <c r="S37">
        <v>95344</v>
      </c>
      <c r="T37">
        <v>82043</v>
      </c>
      <c r="U37">
        <v>134555</v>
      </c>
      <c r="V37">
        <v>97690</v>
      </c>
      <c r="W37">
        <v>39257</v>
      </c>
      <c r="X37">
        <v>2044450</v>
      </c>
      <c r="Y37">
        <f t="shared" si="2"/>
        <v>681483.33333333337</v>
      </c>
      <c r="AA37">
        <v>14</v>
      </c>
      <c r="AB37">
        <v>953</v>
      </c>
      <c r="AC37">
        <v>3141</v>
      </c>
      <c r="AD37">
        <v>10164</v>
      </c>
      <c r="AE37">
        <v>4514</v>
      </c>
      <c r="AF37">
        <v>10593</v>
      </c>
      <c r="AG37">
        <v>8519</v>
      </c>
      <c r="AH37">
        <v>8811</v>
      </c>
      <c r="AI37">
        <v>4962</v>
      </c>
      <c r="AJ37">
        <v>4296</v>
      </c>
      <c r="AK37">
        <v>167907</v>
      </c>
      <c r="AL37">
        <f t="shared" si="3"/>
        <v>55969</v>
      </c>
    </row>
    <row r="38" spans="1:38" x14ac:dyDescent="0.25">
      <c r="A38">
        <v>15</v>
      </c>
      <c r="B38">
        <v>5714</v>
      </c>
      <c r="C38">
        <v>24763</v>
      </c>
      <c r="D38">
        <v>27028</v>
      </c>
      <c r="E38">
        <v>24165</v>
      </c>
      <c r="F38">
        <v>68837</v>
      </c>
      <c r="G38">
        <v>59067</v>
      </c>
      <c r="H38">
        <v>27159</v>
      </c>
      <c r="I38">
        <v>26870</v>
      </c>
      <c r="J38">
        <v>32876</v>
      </c>
      <c r="K38">
        <v>889477</v>
      </c>
      <c r="L38">
        <f t="shared" si="4"/>
        <v>296492.33333333331</v>
      </c>
      <c r="N38" t="s">
        <v>0</v>
      </c>
      <c r="AA38">
        <v>15</v>
      </c>
      <c r="AB38">
        <v>5870</v>
      </c>
      <c r="AC38">
        <v>24262</v>
      </c>
      <c r="AD38">
        <v>94912</v>
      </c>
      <c r="AE38">
        <v>37171</v>
      </c>
      <c r="AF38">
        <v>87493</v>
      </c>
      <c r="AG38">
        <v>67856</v>
      </c>
      <c r="AH38">
        <v>75935</v>
      </c>
      <c r="AI38">
        <v>39947</v>
      </c>
      <c r="AJ38">
        <v>32080</v>
      </c>
      <c r="AK38">
        <v>1396620</v>
      </c>
      <c r="AL38">
        <f t="shared" si="3"/>
        <v>465540</v>
      </c>
    </row>
    <row r="39" spans="1:38" x14ac:dyDescent="0.25">
      <c r="A39" t="s">
        <v>5</v>
      </c>
      <c r="N39" t="s">
        <v>8</v>
      </c>
      <c r="AA39" t="s">
        <v>9</v>
      </c>
    </row>
    <row r="40" spans="1:38" s="1" customFormat="1" x14ac:dyDescent="0.25"/>
    <row r="41" spans="1:38" x14ac:dyDescent="0.25">
      <c r="A41" t="s">
        <v>24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N41" t="s">
        <v>30</v>
      </c>
      <c r="O41" t="s">
        <v>12</v>
      </c>
      <c r="P41" t="s">
        <v>13</v>
      </c>
      <c r="Q41" t="s">
        <v>14</v>
      </c>
      <c r="R41" t="s">
        <v>15</v>
      </c>
      <c r="S41" t="s">
        <v>16</v>
      </c>
      <c r="T41" t="s">
        <v>17</v>
      </c>
      <c r="U41" t="s">
        <v>18</v>
      </c>
      <c r="V41" t="s">
        <v>19</v>
      </c>
      <c r="W41" t="s">
        <v>20</v>
      </c>
      <c r="X41" t="s">
        <v>21</v>
      </c>
    </row>
    <row r="42" spans="1:38" x14ac:dyDescent="0.25">
      <c r="A42">
        <v>6</v>
      </c>
      <c r="B42">
        <v>65</v>
      </c>
      <c r="C42">
        <v>62</v>
      </c>
      <c r="D42">
        <v>63</v>
      </c>
      <c r="E42">
        <v>58</v>
      </c>
      <c r="F42">
        <v>61</v>
      </c>
      <c r="G42">
        <v>60</v>
      </c>
      <c r="H42">
        <v>61</v>
      </c>
      <c r="I42">
        <v>61</v>
      </c>
      <c r="J42">
        <v>59</v>
      </c>
      <c r="K42">
        <v>1687</v>
      </c>
      <c r="L42">
        <f>K42/3</f>
        <v>562.33333333333337</v>
      </c>
      <c r="N42">
        <v>6</v>
      </c>
      <c r="O42">
        <v>109</v>
      </c>
      <c r="P42">
        <v>67</v>
      </c>
      <c r="Q42">
        <v>63</v>
      </c>
      <c r="R42">
        <v>60</v>
      </c>
      <c r="S42">
        <v>63</v>
      </c>
      <c r="T42">
        <v>61</v>
      </c>
      <c r="U42">
        <v>61</v>
      </c>
      <c r="V42">
        <v>61</v>
      </c>
      <c r="W42">
        <v>58</v>
      </c>
      <c r="X42">
        <v>1853</v>
      </c>
      <c r="Y42">
        <f t="shared" si="2"/>
        <v>617.66666666666663</v>
      </c>
    </row>
    <row r="43" spans="1:38" x14ac:dyDescent="0.25">
      <c r="A43">
        <v>7</v>
      </c>
      <c r="B43">
        <v>60</v>
      </c>
      <c r="C43">
        <v>63</v>
      </c>
      <c r="D43">
        <v>66</v>
      </c>
      <c r="E43">
        <v>63</v>
      </c>
      <c r="F43">
        <v>69</v>
      </c>
      <c r="G43">
        <v>64</v>
      </c>
      <c r="H43">
        <v>64</v>
      </c>
      <c r="I43">
        <v>67</v>
      </c>
      <c r="J43">
        <v>61</v>
      </c>
      <c r="K43">
        <v>1769</v>
      </c>
      <c r="L43">
        <f t="shared" ref="L43:L50" si="5">K43/3</f>
        <v>589.66666666666663</v>
      </c>
      <c r="N43">
        <v>7</v>
      </c>
      <c r="O43">
        <v>62</v>
      </c>
      <c r="P43">
        <v>60</v>
      </c>
      <c r="Q43">
        <v>61</v>
      </c>
      <c r="R43">
        <v>62</v>
      </c>
      <c r="S43">
        <v>64</v>
      </c>
      <c r="T43">
        <v>62</v>
      </c>
      <c r="U43">
        <v>58</v>
      </c>
      <c r="V43">
        <v>60</v>
      </c>
      <c r="W43">
        <v>61</v>
      </c>
      <c r="X43">
        <v>1687</v>
      </c>
      <c r="Y43">
        <f t="shared" si="2"/>
        <v>562.33333333333337</v>
      </c>
    </row>
    <row r="44" spans="1:38" x14ac:dyDescent="0.25">
      <c r="A44">
        <v>8</v>
      </c>
      <c r="B44">
        <v>66</v>
      </c>
      <c r="C44">
        <v>64</v>
      </c>
      <c r="D44">
        <v>71</v>
      </c>
      <c r="E44">
        <v>73</v>
      </c>
      <c r="F44">
        <v>74</v>
      </c>
      <c r="G44">
        <v>75</v>
      </c>
      <c r="H44">
        <v>68</v>
      </c>
      <c r="I44">
        <v>70</v>
      </c>
      <c r="J44">
        <v>67</v>
      </c>
      <c r="K44">
        <v>1920</v>
      </c>
      <c r="L44">
        <f t="shared" si="5"/>
        <v>640</v>
      </c>
      <c r="N44">
        <v>8</v>
      </c>
      <c r="O44">
        <v>62</v>
      </c>
      <c r="P44">
        <v>63</v>
      </c>
      <c r="Q44">
        <v>68</v>
      </c>
      <c r="R44">
        <v>63</v>
      </c>
      <c r="S44">
        <v>68</v>
      </c>
      <c r="T44">
        <v>69</v>
      </c>
      <c r="U44">
        <v>66</v>
      </c>
      <c r="V44">
        <v>65</v>
      </c>
      <c r="W44">
        <v>64</v>
      </c>
      <c r="X44">
        <v>1805</v>
      </c>
      <c r="Y44">
        <f t="shared" si="2"/>
        <v>601.66666666666663</v>
      </c>
    </row>
    <row r="45" spans="1:38" x14ac:dyDescent="0.25">
      <c r="A45">
        <v>9</v>
      </c>
      <c r="B45">
        <v>64</v>
      </c>
      <c r="C45">
        <v>73</v>
      </c>
      <c r="D45">
        <v>96</v>
      </c>
      <c r="E45">
        <v>85</v>
      </c>
      <c r="F45">
        <v>91</v>
      </c>
      <c r="G45">
        <v>80</v>
      </c>
      <c r="H45">
        <v>92</v>
      </c>
      <c r="I45">
        <v>82</v>
      </c>
      <c r="J45">
        <v>73</v>
      </c>
      <c r="K45">
        <v>2250</v>
      </c>
      <c r="L45">
        <f t="shared" si="5"/>
        <v>750</v>
      </c>
      <c r="N45">
        <v>9</v>
      </c>
      <c r="O45">
        <v>64</v>
      </c>
      <c r="P45">
        <v>70</v>
      </c>
      <c r="Q45">
        <v>78</v>
      </c>
      <c r="R45">
        <v>72</v>
      </c>
      <c r="S45">
        <v>84</v>
      </c>
      <c r="T45">
        <v>76</v>
      </c>
      <c r="U45">
        <v>78</v>
      </c>
      <c r="V45">
        <v>75</v>
      </c>
      <c r="W45">
        <v>71</v>
      </c>
      <c r="X45">
        <v>2045</v>
      </c>
      <c r="Y45">
        <f t="shared" si="2"/>
        <v>681.66666666666663</v>
      </c>
    </row>
    <row r="46" spans="1:38" x14ac:dyDescent="0.25">
      <c r="A46">
        <v>10</v>
      </c>
      <c r="B46">
        <v>76</v>
      </c>
      <c r="C46">
        <v>84</v>
      </c>
      <c r="D46">
        <v>151</v>
      </c>
      <c r="E46">
        <v>125</v>
      </c>
      <c r="F46">
        <v>122</v>
      </c>
      <c r="G46">
        <v>109</v>
      </c>
      <c r="H46">
        <v>128</v>
      </c>
      <c r="I46">
        <v>127</v>
      </c>
      <c r="J46">
        <v>90</v>
      </c>
      <c r="K46">
        <v>3075</v>
      </c>
      <c r="L46">
        <f t="shared" si="5"/>
        <v>1025</v>
      </c>
      <c r="N46">
        <v>10</v>
      </c>
      <c r="O46">
        <v>74</v>
      </c>
      <c r="P46">
        <v>84</v>
      </c>
      <c r="Q46">
        <v>117</v>
      </c>
      <c r="R46">
        <v>102</v>
      </c>
      <c r="S46">
        <v>111</v>
      </c>
      <c r="T46">
        <v>102</v>
      </c>
      <c r="U46">
        <v>107</v>
      </c>
      <c r="V46">
        <v>101</v>
      </c>
      <c r="W46">
        <v>86</v>
      </c>
      <c r="X46">
        <v>2699</v>
      </c>
      <c r="Y46">
        <f t="shared" si="2"/>
        <v>899.66666666666663</v>
      </c>
    </row>
    <row r="47" spans="1:38" x14ac:dyDescent="0.25">
      <c r="A47">
        <v>11</v>
      </c>
      <c r="B47">
        <v>86</v>
      </c>
      <c r="C47">
        <v>126</v>
      </c>
      <c r="D47">
        <v>480</v>
      </c>
      <c r="E47">
        <v>331</v>
      </c>
      <c r="F47">
        <v>276</v>
      </c>
      <c r="G47">
        <v>200</v>
      </c>
      <c r="H47">
        <v>376</v>
      </c>
      <c r="I47">
        <v>310</v>
      </c>
      <c r="J47">
        <v>139</v>
      </c>
      <c r="K47">
        <v>7018</v>
      </c>
      <c r="L47">
        <f t="shared" si="5"/>
        <v>2339.3333333333335</v>
      </c>
      <c r="N47">
        <v>11</v>
      </c>
      <c r="O47">
        <v>87</v>
      </c>
      <c r="P47">
        <v>120</v>
      </c>
      <c r="Q47">
        <v>324</v>
      </c>
      <c r="R47">
        <v>238</v>
      </c>
      <c r="S47">
        <v>236</v>
      </c>
      <c r="T47">
        <v>184</v>
      </c>
      <c r="U47">
        <v>244</v>
      </c>
      <c r="V47">
        <v>226</v>
      </c>
      <c r="W47">
        <v>127</v>
      </c>
      <c r="X47">
        <v>5396</v>
      </c>
      <c r="Y47">
        <f t="shared" si="2"/>
        <v>1798.6666666666667</v>
      </c>
    </row>
    <row r="48" spans="1:38" x14ac:dyDescent="0.25">
      <c r="A48">
        <v>12</v>
      </c>
      <c r="B48">
        <v>145</v>
      </c>
      <c r="C48">
        <v>291</v>
      </c>
      <c r="D48">
        <v>4399</v>
      </c>
      <c r="E48">
        <v>2530</v>
      </c>
      <c r="F48">
        <v>1317</v>
      </c>
      <c r="G48">
        <v>734</v>
      </c>
      <c r="H48">
        <v>2904</v>
      </c>
      <c r="I48">
        <v>2198</v>
      </c>
      <c r="J48">
        <v>324</v>
      </c>
      <c r="K48">
        <v>44570</v>
      </c>
      <c r="L48">
        <f t="shared" si="5"/>
        <v>14856.666666666666</v>
      </c>
      <c r="N48">
        <v>12</v>
      </c>
      <c r="O48">
        <v>137</v>
      </c>
      <c r="P48">
        <v>274</v>
      </c>
      <c r="Q48">
        <v>2797</v>
      </c>
      <c r="R48">
        <v>1747</v>
      </c>
      <c r="S48">
        <v>1291</v>
      </c>
      <c r="T48">
        <v>734</v>
      </c>
      <c r="U48">
        <v>1908</v>
      </c>
      <c r="V48">
        <v>1538</v>
      </c>
      <c r="W48">
        <v>328</v>
      </c>
      <c r="X48">
        <v>32303</v>
      </c>
      <c r="Y48">
        <f t="shared" si="2"/>
        <v>10767.666666666666</v>
      </c>
    </row>
    <row r="49" spans="1:38" x14ac:dyDescent="0.25">
      <c r="A49">
        <v>13</v>
      </c>
      <c r="B49">
        <v>310</v>
      </c>
      <c r="C49">
        <v>1451</v>
      </c>
      <c r="D49">
        <v>67904</v>
      </c>
      <c r="E49">
        <v>36914</v>
      </c>
      <c r="F49">
        <v>13996</v>
      </c>
      <c r="G49">
        <v>6350</v>
      </c>
      <c r="H49">
        <v>49472</v>
      </c>
      <c r="I49">
        <v>32322</v>
      </c>
      <c r="J49">
        <v>2000</v>
      </c>
      <c r="K49">
        <v>632199</v>
      </c>
      <c r="L49">
        <f t="shared" si="5"/>
        <v>210733</v>
      </c>
      <c r="N49">
        <v>13</v>
      </c>
      <c r="O49">
        <v>318</v>
      </c>
      <c r="P49">
        <v>1342</v>
      </c>
      <c r="Q49">
        <v>42361</v>
      </c>
      <c r="R49">
        <v>24686</v>
      </c>
      <c r="S49">
        <v>11859</v>
      </c>
      <c r="T49">
        <v>5479</v>
      </c>
      <c r="U49">
        <v>24363</v>
      </c>
      <c r="V49">
        <v>19987</v>
      </c>
      <c r="W49">
        <v>1958</v>
      </c>
      <c r="X49">
        <v>397098</v>
      </c>
      <c r="Y49">
        <f t="shared" si="2"/>
        <v>132366</v>
      </c>
    </row>
    <row r="50" spans="1:38" x14ac:dyDescent="0.25">
      <c r="A50">
        <v>14</v>
      </c>
      <c r="B50">
        <v>1429</v>
      </c>
      <c r="C50">
        <v>12923</v>
      </c>
      <c r="D50">
        <v>1217400</v>
      </c>
      <c r="E50">
        <v>637876</v>
      </c>
      <c r="F50">
        <v>139890</v>
      </c>
      <c r="G50">
        <v>53236</v>
      </c>
      <c r="H50">
        <v>662489</v>
      </c>
      <c r="I50">
        <v>482680</v>
      </c>
      <c r="J50">
        <v>19698</v>
      </c>
      <c r="K50">
        <v>9682906</v>
      </c>
      <c r="L50">
        <f t="shared" si="5"/>
        <v>3227635.3333333335</v>
      </c>
      <c r="N50">
        <v>14</v>
      </c>
      <c r="O50">
        <v>1374</v>
      </c>
      <c r="P50">
        <v>11561</v>
      </c>
      <c r="Q50">
        <v>719477</v>
      </c>
      <c r="R50">
        <v>420796</v>
      </c>
      <c r="S50">
        <v>136273</v>
      </c>
      <c r="T50">
        <v>54807</v>
      </c>
      <c r="U50">
        <v>394754</v>
      </c>
      <c r="V50">
        <v>308644</v>
      </c>
      <c r="W50">
        <v>18688</v>
      </c>
      <c r="X50">
        <v>6199168</v>
      </c>
      <c r="Y50">
        <f t="shared" si="2"/>
        <v>2066389.3333333333</v>
      </c>
    </row>
    <row r="51" spans="1:38" x14ac:dyDescent="0.25">
      <c r="A51" t="s">
        <v>7</v>
      </c>
      <c r="N51" t="s">
        <v>6</v>
      </c>
    </row>
    <row r="52" spans="1:38" s="1" customFormat="1" x14ac:dyDescent="0.25"/>
    <row r="53" spans="1:38" x14ac:dyDescent="0.25">
      <c r="A53" t="s">
        <v>26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20</v>
      </c>
      <c r="K53" t="s">
        <v>21</v>
      </c>
      <c r="N53" t="s">
        <v>27</v>
      </c>
      <c r="O53" t="s">
        <v>12</v>
      </c>
      <c r="P53" t="s">
        <v>13</v>
      </c>
      <c r="Q53" t="s">
        <v>14</v>
      </c>
      <c r="R53" t="s">
        <v>15</v>
      </c>
      <c r="S53" t="s">
        <v>16</v>
      </c>
      <c r="T53" t="s">
        <v>17</v>
      </c>
      <c r="U53" t="s">
        <v>18</v>
      </c>
      <c r="V53" t="s">
        <v>19</v>
      </c>
      <c r="W53" t="s">
        <v>20</v>
      </c>
      <c r="X53" t="s">
        <v>21</v>
      </c>
      <c r="AA53" t="s">
        <v>33</v>
      </c>
      <c r="AB53" t="s">
        <v>12</v>
      </c>
      <c r="AC53" t="s">
        <v>13</v>
      </c>
      <c r="AD53" t="s">
        <v>14</v>
      </c>
      <c r="AE53" t="s">
        <v>15</v>
      </c>
      <c r="AF53" t="s">
        <v>16</v>
      </c>
      <c r="AG53" t="s">
        <v>17</v>
      </c>
      <c r="AH53" t="s">
        <v>18</v>
      </c>
      <c r="AI53" t="s">
        <v>19</v>
      </c>
      <c r="AJ53" t="s">
        <v>20</v>
      </c>
      <c r="AK53" t="s">
        <v>21</v>
      </c>
    </row>
    <row r="54" spans="1:38" x14ac:dyDescent="0.25">
      <c r="A54">
        <v>6</v>
      </c>
      <c r="B54">
        <v>66</v>
      </c>
      <c r="C54">
        <v>70</v>
      </c>
      <c r="D54">
        <v>70</v>
      </c>
      <c r="E54">
        <v>56</v>
      </c>
      <c r="F54">
        <v>83</v>
      </c>
      <c r="G54">
        <v>64</v>
      </c>
      <c r="H54">
        <v>58</v>
      </c>
      <c r="I54">
        <v>61</v>
      </c>
      <c r="J54">
        <v>73</v>
      </c>
      <c r="K54">
        <v>1859</v>
      </c>
      <c r="L54">
        <f>K54/3</f>
        <v>619.66666666666663</v>
      </c>
      <c r="N54">
        <v>6</v>
      </c>
      <c r="O54">
        <v>68</v>
      </c>
      <c r="P54">
        <v>70</v>
      </c>
      <c r="Q54">
        <v>65</v>
      </c>
      <c r="R54">
        <v>67</v>
      </c>
      <c r="S54">
        <v>68</v>
      </c>
      <c r="T54">
        <v>67</v>
      </c>
      <c r="U54">
        <v>69</v>
      </c>
      <c r="V54">
        <v>68</v>
      </c>
      <c r="W54">
        <v>67</v>
      </c>
      <c r="X54">
        <v>1868</v>
      </c>
      <c r="Y54">
        <f t="shared" si="2"/>
        <v>622.66666666666663</v>
      </c>
      <c r="AA54">
        <v>6</v>
      </c>
      <c r="AB54">
        <v>78</v>
      </c>
      <c r="AC54">
        <v>78</v>
      </c>
      <c r="AD54">
        <v>80</v>
      </c>
      <c r="AE54">
        <v>78</v>
      </c>
      <c r="AF54">
        <v>81</v>
      </c>
      <c r="AG54">
        <v>75</v>
      </c>
      <c r="AH54">
        <v>81</v>
      </c>
      <c r="AI54">
        <v>76</v>
      </c>
      <c r="AJ54">
        <v>74</v>
      </c>
      <c r="AK54">
        <v>2145</v>
      </c>
      <c r="AL54">
        <f>AK54/3</f>
        <v>715</v>
      </c>
    </row>
    <row r="55" spans="1:38" x14ac:dyDescent="0.25">
      <c r="A55">
        <v>7</v>
      </c>
      <c r="B55">
        <v>77</v>
      </c>
      <c r="C55">
        <v>101</v>
      </c>
      <c r="D55">
        <v>58</v>
      </c>
      <c r="E55">
        <v>59</v>
      </c>
      <c r="F55">
        <v>105</v>
      </c>
      <c r="G55">
        <v>95</v>
      </c>
      <c r="H55">
        <v>58</v>
      </c>
      <c r="I55">
        <v>58</v>
      </c>
      <c r="J55">
        <v>98</v>
      </c>
      <c r="K55">
        <v>2170</v>
      </c>
      <c r="L55">
        <f t="shared" ref="L55:L59" si="6">K55/3</f>
        <v>723.33333333333337</v>
      </c>
      <c r="N55">
        <v>7</v>
      </c>
      <c r="O55">
        <v>66</v>
      </c>
      <c r="P55">
        <v>67</v>
      </c>
      <c r="Q55">
        <v>64</v>
      </c>
      <c r="R55">
        <v>67</v>
      </c>
      <c r="S55">
        <v>70</v>
      </c>
      <c r="T55">
        <v>67</v>
      </c>
      <c r="U55">
        <v>69</v>
      </c>
      <c r="V55">
        <v>69</v>
      </c>
      <c r="W55">
        <v>72</v>
      </c>
      <c r="X55">
        <v>1873</v>
      </c>
      <c r="Y55">
        <f t="shared" si="2"/>
        <v>624.33333333333337</v>
      </c>
      <c r="AA55">
        <v>7</v>
      </c>
      <c r="AB55">
        <v>82</v>
      </c>
      <c r="AC55">
        <v>85</v>
      </c>
      <c r="AD55">
        <v>75</v>
      </c>
      <c r="AE55">
        <v>75</v>
      </c>
      <c r="AF55">
        <v>79</v>
      </c>
      <c r="AG55">
        <v>79</v>
      </c>
      <c r="AH55">
        <v>80</v>
      </c>
      <c r="AI55">
        <v>79</v>
      </c>
      <c r="AJ55">
        <v>78</v>
      </c>
      <c r="AK55">
        <v>2175</v>
      </c>
      <c r="AL55">
        <f t="shared" ref="AL55:AL63" si="7">AK55/3</f>
        <v>725</v>
      </c>
    </row>
    <row r="56" spans="1:38" x14ac:dyDescent="0.25">
      <c r="A56">
        <v>8</v>
      </c>
      <c r="B56">
        <v>108</v>
      </c>
      <c r="C56">
        <v>156</v>
      </c>
      <c r="D56">
        <v>68</v>
      </c>
      <c r="E56">
        <v>67</v>
      </c>
      <c r="F56">
        <v>168</v>
      </c>
      <c r="G56">
        <v>154</v>
      </c>
      <c r="H56">
        <v>62</v>
      </c>
      <c r="I56">
        <v>63</v>
      </c>
      <c r="J56">
        <v>169</v>
      </c>
      <c r="K56">
        <v>3081</v>
      </c>
      <c r="L56">
        <f t="shared" si="6"/>
        <v>1027</v>
      </c>
      <c r="N56">
        <v>8</v>
      </c>
      <c r="O56">
        <v>67</v>
      </c>
      <c r="P56">
        <v>71</v>
      </c>
      <c r="Q56">
        <v>69</v>
      </c>
      <c r="R56">
        <v>70</v>
      </c>
      <c r="S56">
        <v>73</v>
      </c>
      <c r="T56">
        <v>72</v>
      </c>
      <c r="U56">
        <v>72</v>
      </c>
      <c r="V56">
        <v>79</v>
      </c>
      <c r="W56">
        <v>78</v>
      </c>
      <c r="X56">
        <v>1991</v>
      </c>
      <c r="Y56">
        <f t="shared" si="2"/>
        <v>663.66666666666663</v>
      </c>
      <c r="AA56">
        <v>8</v>
      </c>
      <c r="AB56">
        <v>79</v>
      </c>
      <c r="AC56">
        <v>82</v>
      </c>
      <c r="AD56">
        <v>79</v>
      </c>
      <c r="AE56">
        <v>81</v>
      </c>
      <c r="AF56">
        <v>81</v>
      </c>
      <c r="AG56">
        <v>82</v>
      </c>
      <c r="AH56">
        <v>82</v>
      </c>
      <c r="AI56">
        <v>81</v>
      </c>
      <c r="AJ56">
        <v>84</v>
      </c>
      <c r="AK56">
        <v>2236</v>
      </c>
      <c r="AL56">
        <f t="shared" si="7"/>
        <v>745.33333333333337</v>
      </c>
    </row>
    <row r="57" spans="1:38" x14ac:dyDescent="0.25">
      <c r="A57">
        <v>9</v>
      </c>
      <c r="B57">
        <v>219</v>
      </c>
      <c r="C57">
        <v>690</v>
      </c>
      <c r="D57">
        <v>94</v>
      </c>
      <c r="E57">
        <v>82</v>
      </c>
      <c r="F57">
        <v>927</v>
      </c>
      <c r="G57">
        <v>744</v>
      </c>
      <c r="H57">
        <v>94</v>
      </c>
      <c r="I57">
        <v>80</v>
      </c>
      <c r="J57">
        <v>880</v>
      </c>
      <c r="K57">
        <v>11469</v>
      </c>
      <c r="L57">
        <f t="shared" si="6"/>
        <v>3823</v>
      </c>
      <c r="N57">
        <v>9</v>
      </c>
      <c r="O57">
        <v>73</v>
      </c>
      <c r="P57">
        <v>78</v>
      </c>
      <c r="Q57">
        <v>73</v>
      </c>
      <c r="R57">
        <v>75</v>
      </c>
      <c r="S57">
        <v>84</v>
      </c>
      <c r="T57">
        <v>78</v>
      </c>
      <c r="U57">
        <v>72</v>
      </c>
      <c r="V57">
        <v>73</v>
      </c>
      <c r="W57">
        <v>78</v>
      </c>
      <c r="X57">
        <v>2091</v>
      </c>
      <c r="Y57">
        <f t="shared" si="2"/>
        <v>697</v>
      </c>
      <c r="AA57">
        <v>9</v>
      </c>
      <c r="AB57">
        <v>82</v>
      </c>
      <c r="AC57">
        <v>91</v>
      </c>
      <c r="AD57">
        <v>77</v>
      </c>
      <c r="AE57">
        <v>85</v>
      </c>
      <c r="AF57">
        <v>94</v>
      </c>
      <c r="AG57">
        <v>93</v>
      </c>
      <c r="AH57">
        <v>86</v>
      </c>
      <c r="AI57">
        <v>95</v>
      </c>
      <c r="AJ57">
        <v>95</v>
      </c>
      <c r="AK57">
        <v>2440</v>
      </c>
      <c r="AL57">
        <f t="shared" si="7"/>
        <v>813.33333333333337</v>
      </c>
    </row>
    <row r="58" spans="1:38" x14ac:dyDescent="0.25">
      <c r="A58">
        <v>10</v>
      </c>
      <c r="B58">
        <v>1481</v>
      </c>
      <c r="C58">
        <v>8285</v>
      </c>
      <c r="D58">
        <v>147</v>
      </c>
      <c r="E58">
        <v>124</v>
      </c>
      <c r="F58">
        <v>13667</v>
      </c>
      <c r="G58">
        <v>11768</v>
      </c>
      <c r="H58">
        <v>136</v>
      </c>
      <c r="I58">
        <v>124</v>
      </c>
      <c r="J58">
        <v>12214</v>
      </c>
      <c r="K58">
        <v>143876</v>
      </c>
      <c r="L58">
        <f t="shared" si="6"/>
        <v>47958.666666666664</v>
      </c>
      <c r="N58">
        <v>10</v>
      </c>
      <c r="O58">
        <v>75</v>
      </c>
      <c r="P58">
        <v>87</v>
      </c>
      <c r="Q58">
        <v>84</v>
      </c>
      <c r="R58">
        <v>89</v>
      </c>
      <c r="S58">
        <v>108</v>
      </c>
      <c r="T58">
        <v>97</v>
      </c>
      <c r="U58">
        <v>86</v>
      </c>
      <c r="V58">
        <v>88</v>
      </c>
      <c r="W58">
        <v>93</v>
      </c>
      <c r="X58">
        <v>2460</v>
      </c>
      <c r="Y58">
        <f t="shared" si="2"/>
        <v>820</v>
      </c>
      <c r="AA58">
        <v>10</v>
      </c>
      <c r="AB58">
        <v>104</v>
      </c>
      <c r="AC58">
        <v>103</v>
      </c>
      <c r="AD58">
        <v>94</v>
      </c>
      <c r="AE58">
        <v>95</v>
      </c>
      <c r="AF58">
        <v>117</v>
      </c>
      <c r="AG58">
        <v>116</v>
      </c>
      <c r="AH58">
        <v>97</v>
      </c>
      <c r="AI58">
        <v>102</v>
      </c>
      <c r="AJ58">
        <v>106</v>
      </c>
      <c r="AK58">
        <v>2843</v>
      </c>
      <c r="AL58">
        <f t="shared" si="7"/>
        <v>947.66666666666663</v>
      </c>
    </row>
    <row r="59" spans="1:38" x14ac:dyDescent="0.25">
      <c r="A59">
        <v>11</v>
      </c>
      <c r="B59">
        <v>23315</v>
      </c>
      <c r="C59">
        <v>172761</v>
      </c>
      <c r="D59">
        <v>463</v>
      </c>
      <c r="E59">
        <v>313</v>
      </c>
      <c r="F59">
        <v>303100</v>
      </c>
      <c r="G59">
        <v>274382</v>
      </c>
      <c r="H59">
        <v>419</v>
      </c>
      <c r="I59">
        <v>330</v>
      </c>
      <c r="J59">
        <v>269101</v>
      </c>
      <c r="K59">
        <v>3132600</v>
      </c>
      <c r="L59">
        <f t="shared" si="6"/>
        <v>1044200</v>
      </c>
      <c r="N59">
        <v>11</v>
      </c>
      <c r="O59">
        <v>93</v>
      </c>
      <c r="P59">
        <v>136</v>
      </c>
      <c r="Q59">
        <v>108</v>
      </c>
      <c r="R59">
        <v>116</v>
      </c>
      <c r="S59">
        <v>216</v>
      </c>
      <c r="T59">
        <v>196</v>
      </c>
      <c r="U59">
        <v>115</v>
      </c>
      <c r="V59">
        <v>128</v>
      </c>
      <c r="W59">
        <v>147</v>
      </c>
      <c r="X59">
        <v>3807</v>
      </c>
      <c r="Y59">
        <f t="shared" si="2"/>
        <v>1269</v>
      </c>
      <c r="AA59">
        <v>11</v>
      </c>
      <c r="AB59">
        <v>103</v>
      </c>
      <c r="AC59">
        <v>152</v>
      </c>
      <c r="AD59">
        <v>117</v>
      </c>
      <c r="AE59">
        <v>137</v>
      </c>
      <c r="AF59">
        <v>259</v>
      </c>
      <c r="AG59">
        <v>229</v>
      </c>
      <c r="AH59">
        <v>125</v>
      </c>
      <c r="AI59">
        <v>143</v>
      </c>
      <c r="AJ59">
        <v>171</v>
      </c>
      <c r="AK59">
        <v>4354</v>
      </c>
      <c r="AL59">
        <f t="shared" si="7"/>
        <v>1451.3333333333333</v>
      </c>
    </row>
    <row r="60" spans="1:38" x14ac:dyDescent="0.25">
      <c r="N60">
        <v>12</v>
      </c>
      <c r="O60">
        <v>155</v>
      </c>
      <c r="P60">
        <v>382</v>
      </c>
      <c r="Q60">
        <v>220</v>
      </c>
      <c r="R60">
        <v>302</v>
      </c>
      <c r="S60">
        <v>1101</v>
      </c>
      <c r="T60">
        <v>893</v>
      </c>
      <c r="U60">
        <v>263</v>
      </c>
      <c r="V60">
        <v>349</v>
      </c>
      <c r="W60">
        <v>517</v>
      </c>
      <c r="X60">
        <v>12585</v>
      </c>
      <c r="Y60">
        <f t="shared" si="2"/>
        <v>4195</v>
      </c>
      <c r="AA60">
        <v>12</v>
      </c>
      <c r="AB60">
        <v>175</v>
      </c>
      <c r="AC60">
        <v>441</v>
      </c>
      <c r="AD60">
        <v>253</v>
      </c>
      <c r="AE60">
        <v>336</v>
      </c>
      <c r="AF60">
        <v>1340</v>
      </c>
      <c r="AG60">
        <v>1076</v>
      </c>
      <c r="AH60">
        <v>291</v>
      </c>
      <c r="AI60">
        <v>417</v>
      </c>
      <c r="AJ60">
        <v>640</v>
      </c>
      <c r="AK60">
        <v>14955</v>
      </c>
      <c r="AL60">
        <f t="shared" si="7"/>
        <v>4985</v>
      </c>
    </row>
    <row r="61" spans="1:38" x14ac:dyDescent="0.25">
      <c r="N61">
        <v>13</v>
      </c>
      <c r="O61">
        <v>483</v>
      </c>
      <c r="P61">
        <v>2395</v>
      </c>
      <c r="Q61">
        <v>1057</v>
      </c>
      <c r="R61">
        <v>1682</v>
      </c>
      <c r="S61">
        <v>9160</v>
      </c>
      <c r="T61">
        <v>7125</v>
      </c>
      <c r="U61">
        <v>1373</v>
      </c>
      <c r="V61">
        <v>2288</v>
      </c>
      <c r="W61">
        <v>3612</v>
      </c>
      <c r="X61">
        <v>87565</v>
      </c>
      <c r="Y61">
        <f t="shared" si="2"/>
        <v>29188.333333333332</v>
      </c>
      <c r="AA61">
        <v>13</v>
      </c>
      <c r="AB61">
        <v>570</v>
      </c>
      <c r="AC61">
        <v>3043</v>
      </c>
      <c r="AD61">
        <v>1225</v>
      </c>
      <c r="AE61">
        <v>1939</v>
      </c>
      <c r="AF61">
        <v>10429</v>
      </c>
      <c r="AG61">
        <v>7511</v>
      </c>
      <c r="AH61">
        <v>1358</v>
      </c>
      <c r="AI61">
        <v>2372</v>
      </c>
      <c r="AJ61">
        <v>3897</v>
      </c>
      <c r="AK61">
        <v>97075</v>
      </c>
      <c r="AL61">
        <f t="shared" si="7"/>
        <v>32358.333333333332</v>
      </c>
    </row>
    <row r="62" spans="1:38" x14ac:dyDescent="0.25">
      <c r="N62">
        <v>14</v>
      </c>
      <c r="O62">
        <v>2904</v>
      </c>
      <c r="P62">
        <v>20754</v>
      </c>
      <c r="Q62">
        <v>8885</v>
      </c>
      <c r="R62">
        <v>14402</v>
      </c>
      <c r="S62">
        <v>87873</v>
      </c>
      <c r="T62">
        <v>66432</v>
      </c>
      <c r="U62">
        <v>11587</v>
      </c>
      <c r="V62">
        <v>20457</v>
      </c>
      <c r="W62">
        <v>32362</v>
      </c>
      <c r="X62">
        <v>797007</v>
      </c>
      <c r="Y62">
        <f t="shared" si="2"/>
        <v>265669</v>
      </c>
      <c r="AA62">
        <v>14</v>
      </c>
      <c r="AB62">
        <v>3103</v>
      </c>
      <c r="AC62">
        <v>22499</v>
      </c>
      <c r="AD62">
        <v>8982</v>
      </c>
      <c r="AE62">
        <v>14917</v>
      </c>
      <c r="AF62">
        <v>95722</v>
      </c>
      <c r="AG62">
        <v>72412</v>
      </c>
      <c r="AH62">
        <v>11547</v>
      </c>
      <c r="AI62">
        <v>22058</v>
      </c>
      <c r="AJ62">
        <v>34615</v>
      </c>
      <c r="AK62">
        <v>857605</v>
      </c>
      <c r="AL62">
        <f t="shared" si="7"/>
        <v>285868.33333333331</v>
      </c>
    </row>
    <row r="63" spans="1:38" x14ac:dyDescent="0.25">
      <c r="N63">
        <v>15</v>
      </c>
      <c r="O63">
        <v>23469</v>
      </c>
      <c r="P63">
        <v>194231</v>
      </c>
      <c r="Q63">
        <v>82622</v>
      </c>
      <c r="R63">
        <v>133445</v>
      </c>
      <c r="S63">
        <v>892625</v>
      </c>
      <c r="T63">
        <v>649215</v>
      </c>
      <c r="U63">
        <v>111651</v>
      </c>
      <c r="V63">
        <v>200528</v>
      </c>
      <c r="W63">
        <v>311321</v>
      </c>
      <c r="X63">
        <v>7797359</v>
      </c>
      <c r="Y63">
        <f t="shared" si="2"/>
        <v>2599119.6666666665</v>
      </c>
      <c r="AA63">
        <v>15</v>
      </c>
      <c r="AB63">
        <v>25038</v>
      </c>
      <c r="AC63">
        <v>208448</v>
      </c>
      <c r="AD63">
        <v>86175</v>
      </c>
      <c r="AE63">
        <v>138500</v>
      </c>
      <c r="AF63">
        <v>939975</v>
      </c>
      <c r="AG63">
        <v>670772</v>
      </c>
      <c r="AH63">
        <v>106498</v>
      </c>
      <c r="AI63">
        <v>202990</v>
      </c>
      <c r="AJ63">
        <v>324523</v>
      </c>
      <c r="AK63">
        <v>8108798</v>
      </c>
      <c r="AL63">
        <f t="shared" si="7"/>
        <v>2702932.6666666665</v>
      </c>
    </row>
    <row r="64" spans="1:38" x14ac:dyDescent="0.25">
      <c r="N64" t="s">
        <v>10</v>
      </c>
      <c r="AA6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4311-7D07-4872-ADCB-EB398654A293}">
  <dimension ref="A1:BH12"/>
  <sheetViews>
    <sheetView topLeftCell="C1" zoomScale="40" zoomScaleNormal="40" workbookViewId="0">
      <selection activeCell="T15" sqref="T15"/>
    </sheetView>
  </sheetViews>
  <sheetFormatPr defaultRowHeight="15" x14ac:dyDescent="0.25"/>
  <sheetData>
    <row r="1" spans="1:60" x14ac:dyDescent="0.25">
      <c r="A1" t="s">
        <v>26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30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  <c r="Y1" t="s">
        <v>29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34</v>
      </c>
      <c r="AK1" t="s">
        <v>23</v>
      </c>
      <c r="AL1" t="s">
        <v>12</v>
      </c>
      <c r="AM1" t="s">
        <v>13</v>
      </c>
      <c r="AN1" t="s">
        <v>14</v>
      </c>
      <c r="AO1" t="s">
        <v>15</v>
      </c>
      <c r="AP1" t="s">
        <v>16</v>
      </c>
      <c r="AQ1" t="s">
        <v>17</v>
      </c>
      <c r="AR1" t="s">
        <v>18</v>
      </c>
      <c r="AS1" t="s">
        <v>19</v>
      </c>
      <c r="AT1" t="s">
        <v>20</v>
      </c>
      <c r="AU1" t="s">
        <v>21</v>
      </c>
      <c r="AV1" t="s">
        <v>34</v>
      </c>
      <c r="AW1" t="s">
        <v>28</v>
      </c>
      <c r="AX1" t="s">
        <v>12</v>
      </c>
      <c r="AY1" t="s">
        <v>13</v>
      </c>
      <c r="AZ1" t="s">
        <v>14</v>
      </c>
      <c r="BA1" t="s">
        <v>15</v>
      </c>
      <c r="BB1" t="s">
        <v>16</v>
      </c>
      <c r="BC1" t="s">
        <v>17</v>
      </c>
      <c r="BD1" t="s">
        <v>18</v>
      </c>
      <c r="BE1" t="s">
        <v>19</v>
      </c>
      <c r="BF1" t="s">
        <v>20</v>
      </c>
      <c r="BG1" t="s">
        <v>21</v>
      </c>
    </row>
    <row r="2" spans="1:60" x14ac:dyDescent="0.25">
      <c r="A2">
        <v>6</v>
      </c>
      <c r="B2">
        <v>66</v>
      </c>
      <c r="C2">
        <v>70</v>
      </c>
      <c r="D2">
        <v>70</v>
      </c>
      <c r="E2">
        <v>56</v>
      </c>
      <c r="F2">
        <v>83</v>
      </c>
      <c r="G2">
        <v>64</v>
      </c>
      <c r="H2">
        <v>58</v>
      </c>
      <c r="I2">
        <v>61</v>
      </c>
      <c r="J2">
        <v>73</v>
      </c>
      <c r="K2">
        <v>1859</v>
      </c>
      <c r="L2">
        <f>K2/3</f>
        <v>619.66666666666663</v>
      </c>
      <c r="M2">
        <v>6</v>
      </c>
      <c r="N2">
        <v>109</v>
      </c>
      <c r="O2">
        <v>67</v>
      </c>
      <c r="P2">
        <v>63</v>
      </c>
      <c r="Q2">
        <v>60</v>
      </c>
      <c r="R2">
        <v>63</v>
      </c>
      <c r="S2">
        <v>61</v>
      </c>
      <c r="T2">
        <v>61</v>
      </c>
      <c r="U2">
        <v>61</v>
      </c>
      <c r="V2">
        <v>58</v>
      </c>
      <c r="W2">
        <v>1853</v>
      </c>
      <c r="X2">
        <f t="shared" ref="X2:X10" si="0">W2/3</f>
        <v>617.66666666666663</v>
      </c>
      <c r="Y2">
        <v>6</v>
      </c>
      <c r="Z2">
        <v>74</v>
      </c>
      <c r="AA2">
        <v>67</v>
      </c>
      <c r="AB2">
        <v>66</v>
      </c>
      <c r="AC2">
        <v>75</v>
      </c>
      <c r="AD2">
        <v>69</v>
      </c>
      <c r="AE2">
        <v>69</v>
      </c>
      <c r="AF2">
        <v>67</v>
      </c>
      <c r="AG2">
        <v>66</v>
      </c>
      <c r="AH2">
        <v>66</v>
      </c>
      <c r="AI2">
        <v>1896</v>
      </c>
      <c r="AJ2">
        <f>AI2/3</f>
        <v>632</v>
      </c>
      <c r="AK2">
        <v>6</v>
      </c>
      <c r="AL2">
        <v>16</v>
      </c>
      <c r="AM2">
        <v>13</v>
      </c>
      <c r="AN2">
        <v>13</v>
      </c>
      <c r="AO2">
        <v>13</v>
      </c>
      <c r="AP2">
        <v>13</v>
      </c>
      <c r="AQ2">
        <v>14</v>
      </c>
      <c r="AR2">
        <v>13</v>
      </c>
      <c r="AS2">
        <v>13</v>
      </c>
      <c r="AT2">
        <v>13</v>
      </c>
      <c r="AU2">
        <v>402</v>
      </c>
      <c r="AV2">
        <f>AU2/3</f>
        <v>134</v>
      </c>
      <c r="AW2">
        <v>6</v>
      </c>
      <c r="AX2">
        <v>49</v>
      </c>
      <c r="AY2">
        <v>42</v>
      </c>
      <c r="AZ2">
        <v>43</v>
      </c>
      <c r="BA2">
        <v>44</v>
      </c>
      <c r="BB2">
        <v>43</v>
      </c>
      <c r="BC2">
        <v>40</v>
      </c>
      <c r="BD2">
        <v>40</v>
      </c>
      <c r="BE2">
        <v>40</v>
      </c>
      <c r="BF2">
        <v>39</v>
      </c>
      <c r="BG2">
        <v>1177</v>
      </c>
      <c r="BH2">
        <f>BG2/3</f>
        <v>392.33333333333331</v>
      </c>
    </row>
    <row r="3" spans="1:60" x14ac:dyDescent="0.25">
      <c r="A3">
        <v>7</v>
      </c>
      <c r="B3">
        <v>77</v>
      </c>
      <c r="C3">
        <v>101</v>
      </c>
      <c r="D3">
        <v>58</v>
      </c>
      <c r="E3">
        <v>59</v>
      </c>
      <c r="F3">
        <v>105</v>
      </c>
      <c r="G3">
        <v>95</v>
      </c>
      <c r="H3">
        <v>58</v>
      </c>
      <c r="I3">
        <v>58</v>
      </c>
      <c r="J3">
        <v>98</v>
      </c>
      <c r="K3">
        <v>2170</v>
      </c>
      <c r="L3">
        <f t="shared" ref="L3:L7" si="1">K3/3</f>
        <v>723.33333333333337</v>
      </c>
      <c r="M3">
        <v>7</v>
      </c>
      <c r="N3">
        <v>62</v>
      </c>
      <c r="O3">
        <v>60</v>
      </c>
      <c r="P3">
        <v>61</v>
      </c>
      <c r="Q3">
        <v>62</v>
      </c>
      <c r="R3">
        <v>64</v>
      </c>
      <c r="S3">
        <v>62</v>
      </c>
      <c r="T3">
        <v>58</v>
      </c>
      <c r="U3">
        <v>60</v>
      </c>
      <c r="V3">
        <v>61</v>
      </c>
      <c r="W3">
        <v>1687</v>
      </c>
      <c r="X3">
        <f t="shared" si="0"/>
        <v>562.33333333333337</v>
      </c>
      <c r="Y3">
        <v>7</v>
      </c>
      <c r="Z3">
        <v>68</v>
      </c>
      <c r="AA3">
        <v>64</v>
      </c>
      <c r="AB3">
        <v>65</v>
      </c>
      <c r="AC3">
        <v>65</v>
      </c>
      <c r="AD3">
        <v>70</v>
      </c>
      <c r="AE3">
        <v>69</v>
      </c>
      <c r="AF3">
        <v>65</v>
      </c>
      <c r="AG3">
        <v>66</v>
      </c>
      <c r="AH3">
        <v>68</v>
      </c>
      <c r="AI3">
        <v>1838</v>
      </c>
      <c r="AJ3">
        <f t="shared" ref="AJ3:AJ11" si="2">AI3/3</f>
        <v>612.66666666666663</v>
      </c>
      <c r="AK3">
        <v>7</v>
      </c>
      <c r="AL3">
        <v>13</v>
      </c>
      <c r="AM3">
        <v>14</v>
      </c>
      <c r="AN3">
        <v>14</v>
      </c>
      <c r="AO3">
        <v>13</v>
      </c>
      <c r="AP3">
        <v>13</v>
      </c>
      <c r="AQ3">
        <v>13</v>
      </c>
      <c r="AR3">
        <v>13</v>
      </c>
      <c r="AS3">
        <v>13</v>
      </c>
      <c r="AT3">
        <v>13</v>
      </c>
      <c r="AU3">
        <v>399</v>
      </c>
      <c r="AV3">
        <f t="shared" ref="AV3:AV11" si="3">AU3/3</f>
        <v>133</v>
      </c>
      <c r="AW3">
        <v>7</v>
      </c>
      <c r="AX3">
        <v>43</v>
      </c>
      <c r="AY3">
        <v>40</v>
      </c>
      <c r="AZ3">
        <v>39</v>
      </c>
      <c r="BA3">
        <v>40</v>
      </c>
      <c r="BB3">
        <v>38</v>
      </c>
      <c r="BC3">
        <v>38</v>
      </c>
      <c r="BD3">
        <v>38</v>
      </c>
      <c r="BE3">
        <v>40</v>
      </c>
      <c r="BF3">
        <v>41</v>
      </c>
      <c r="BG3">
        <v>1110</v>
      </c>
      <c r="BH3">
        <f t="shared" ref="BH3:BH12" si="4">BG3/3</f>
        <v>370</v>
      </c>
    </row>
    <row r="4" spans="1:60" x14ac:dyDescent="0.25">
      <c r="A4">
        <v>8</v>
      </c>
      <c r="B4">
        <v>108</v>
      </c>
      <c r="C4">
        <v>156</v>
      </c>
      <c r="D4">
        <v>68</v>
      </c>
      <c r="E4">
        <v>67</v>
      </c>
      <c r="F4">
        <v>168</v>
      </c>
      <c r="G4">
        <v>154</v>
      </c>
      <c r="H4">
        <v>62</v>
      </c>
      <c r="I4">
        <v>63</v>
      </c>
      <c r="J4">
        <v>169</v>
      </c>
      <c r="K4">
        <v>3081</v>
      </c>
      <c r="L4">
        <f t="shared" si="1"/>
        <v>1027</v>
      </c>
      <c r="M4">
        <v>8</v>
      </c>
      <c r="N4">
        <v>62</v>
      </c>
      <c r="O4">
        <v>63</v>
      </c>
      <c r="P4">
        <v>68</v>
      </c>
      <c r="Q4">
        <v>63</v>
      </c>
      <c r="R4">
        <v>68</v>
      </c>
      <c r="S4">
        <v>69</v>
      </c>
      <c r="T4">
        <v>66</v>
      </c>
      <c r="U4">
        <v>65</v>
      </c>
      <c r="V4">
        <v>64</v>
      </c>
      <c r="W4">
        <v>1805</v>
      </c>
      <c r="X4">
        <f t="shared" si="0"/>
        <v>601.66666666666663</v>
      </c>
      <c r="Y4">
        <v>8</v>
      </c>
      <c r="Z4">
        <v>68</v>
      </c>
      <c r="AA4">
        <v>70</v>
      </c>
      <c r="AB4">
        <v>70</v>
      </c>
      <c r="AC4">
        <v>69</v>
      </c>
      <c r="AD4">
        <v>71</v>
      </c>
      <c r="AE4">
        <v>70</v>
      </c>
      <c r="AF4">
        <v>71</v>
      </c>
      <c r="AG4">
        <v>66</v>
      </c>
      <c r="AH4">
        <v>67</v>
      </c>
      <c r="AI4">
        <v>1909</v>
      </c>
      <c r="AJ4">
        <f t="shared" si="2"/>
        <v>636.33333333333337</v>
      </c>
      <c r="AK4">
        <v>8</v>
      </c>
      <c r="AL4">
        <v>14</v>
      </c>
      <c r="AM4">
        <v>13</v>
      </c>
      <c r="AN4">
        <v>13</v>
      </c>
      <c r="AO4">
        <v>13</v>
      </c>
      <c r="AP4">
        <v>13</v>
      </c>
      <c r="AQ4">
        <v>13</v>
      </c>
      <c r="AR4">
        <v>13</v>
      </c>
      <c r="AS4">
        <v>14</v>
      </c>
      <c r="AT4">
        <v>14</v>
      </c>
      <c r="AU4">
        <v>402</v>
      </c>
      <c r="AV4">
        <f t="shared" si="3"/>
        <v>134</v>
      </c>
      <c r="AW4">
        <v>8</v>
      </c>
      <c r="AX4">
        <v>47</v>
      </c>
      <c r="AY4">
        <v>41</v>
      </c>
      <c r="AZ4">
        <v>42</v>
      </c>
      <c r="BA4">
        <v>41</v>
      </c>
      <c r="BB4">
        <v>40</v>
      </c>
      <c r="BC4">
        <v>40</v>
      </c>
      <c r="BD4">
        <v>43</v>
      </c>
      <c r="BE4">
        <v>39</v>
      </c>
      <c r="BF4">
        <v>40</v>
      </c>
      <c r="BG4">
        <v>1155</v>
      </c>
      <c r="BH4">
        <f t="shared" si="4"/>
        <v>385</v>
      </c>
    </row>
    <row r="5" spans="1:60" x14ac:dyDescent="0.25">
      <c r="A5">
        <v>9</v>
      </c>
      <c r="B5">
        <v>219</v>
      </c>
      <c r="C5">
        <v>690</v>
      </c>
      <c r="D5">
        <v>94</v>
      </c>
      <c r="E5">
        <v>82</v>
      </c>
      <c r="F5">
        <v>927</v>
      </c>
      <c r="G5">
        <v>744</v>
      </c>
      <c r="H5">
        <v>94</v>
      </c>
      <c r="I5">
        <v>80</v>
      </c>
      <c r="J5">
        <v>880</v>
      </c>
      <c r="K5">
        <v>11469</v>
      </c>
      <c r="L5">
        <f t="shared" si="1"/>
        <v>3823</v>
      </c>
      <c r="M5">
        <v>9</v>
      </c>
      <c r="N5">
        <v>64</v>
      </c>
      <c r="O5">
        <v>70</v>
      </c>
      <c r="P5">
        <v>78</v>
      </c>
      <c r="Q5">
        <v>72</v>
      </c>
      <c r="R5">
        <v>84</v>
      </c>
      <c r="S5">
        <v>76</v>
      </c>
      <c r="T5">
        <v>78</v>
      </c>
      <c r="U5">
        <v>75</v>
      </c>
      <c r="V5">
        <v>71</v>
      </c>
      <c r="W5">
        <v>2045</v>
      </c>
      <c r="X5">
        <f t="shared" si="0"/>
        <v>681.66666666666663</v>
      </c>
      <c r="Y5">
        <v>9</v>
      </c>
      <c r="Z5">
        <v>68</v>
      </c>
      <c r="AA5">
        <v>72</v>
      </c>
      <c r="AB5">
        <v>75</v>
      </c>
      <c r="AC5">
        <v>70</v>
      </c>
      <c r="AD5">
        <v>81</v>
      </c>
      <c r="AE5">
        <v>76</v>
      </c>
      <c r="AF5">
        <v>71</v>
      </c>
      <c r="AG5">
        <v>73</v>
      </c>
      <c r="AH5">
        <v>72</v>
      </c>
      <c r="AI5">
        <v>2012</v>
      </c>
      <c r="AJ5">
        <f t="shared" si="2"/>
        <v>670.66666666666663</v>
      </c>
      <c r="AK5">
        <v>9</v>
      </c>
      <c r="AL5">
        <v>13</v>
      </c>
      <c r="AM5">
        <v>14</v>
      </c>
      <c r="AN5">
        <v>13</v>
      </c>
      <c r="AO5">
        <v>13</v>
      </c>
      <c r="AP5">
        <v>13</v>
      </c>
      <c r="AQ5">
        <v>13</v>
      </c>
      <c r="AR5">
        <v>13</v>
      </c>
      <c r="AS5">
        <v>14</v>
      </c>
      <c r="AT5">
        <v>13</v>
      </c>
      <c r="AU5">
        <v>390</v>
      </c>
      <c r="AV5">
        <f t="shared" si="3"/>
        <v>130</v>
      </c>
      <c r="AW5">
        <v>9</v>
      </c>
      <c r="AX5">
        <v>41</v>
      </c>
      <c r="AY5">
        <v>43</v>
      </c>
      <c r="AZ5">
        <v>42</v>
      </c>
      <c r="BA5">
        <v>44</v>
      </c>
      <c r="BB5">
        <v>43</v>
      </c>
      <c r="BC5">
        <v>44</v>
      </c>
      <c r="BD5">
        <v>43</v>
      </c>
      <c r="BE5">
        <v>47</v>
      </c>
      <c r="BF5">
        <v>41</v>
      </c>
      <c r="BG5">
        <v>1197</v>
      </c>
      <c r="BH5">
        <f t="shared" si="4"/>
        <v>399</v>
      </c>
    </row>
    <row r="6" spans="1:60" x14ac:dyDescent="0.25">
      <c r="A6">
        <v>10</v>
      </c>
      <c r="B6">
        <v>1481</v>
      </c>
      <c r="C6">
        <v>8285</v>
      </c>
      <c r="D6">
        <v>147</v>
      </c>
      <c r="E6">
        <v>124</v>
      </c>
      <c r="F6">
        <v>13667</v>
      </c>
      <c r="G6">
        <v>11768</v>
      </c>
      <c r="H6">
        <v>136</v>
      </c>
      <c r="I6">
        <v>124</v>
      </c>
      <c r="J6">
        <v>12214</v>
      </c>
      <c r="K6">
        <v>143876</v>
      </c>
      <c r="L6">
        <f t="shared" si="1"/>
        <v>47958.666666666664</v>
      </c>
      <c r="M6">
        <v>10</v>
      </c>
      <c r="N6">
        <v>74</v>
      </c>
      <c r="O6">
        <v>84</v>
      </c>
      <c r="P6">
        <v>117</v>
      </c>
      <c r="Q6">
        <v>102</v>
      </c>
      <c r="R6">
        <v>111</v>
      </c>
      <c r="S6">
        <v>102</v>
      </c>
      <c r="T6">
        <v>107</v>
      </c>
      <c r="U6">
        <v>101</v>
      </c>
      <c r="V6">
        <v>86</v>
      </c>
      <c r="W6">
        <v>2699</v>
      </c>
      <c r="X6">
        <f t="shared" si="0"/>
        <v>899.66666666666663</v>
      </c>
      <c r="Y6">
        <v>10</v>
      </c>
      <c r="Z6">
        <v>71</v>
      </c>
      <c r="AA6">
        <v>81</v>
      </c>
      <c r="AB6">
        <v>81</v>
      </c>
      <c r="AC6">
        <v>78</v>
      </c>
      <c r="AD6">
        <v>87</v>
      </c>
      <c r="AE6">
        <v>83</v>
      </c>
      <c r="AF6">
        <v>81</v>
      </c>
      <c r="AG6">
        <v>82</v>
      </c>
      <c r="AH6">
        <v>81</v>
      </c>
      <c r="AI6">
        <v>2220</v>
      </c>
      <c r="AJ6">
        <f t="shared" si="2"/>
        <v>740</v>
      </c>
      <c r="AK6">
        <v>10</v>
      </c>
      <c r="AL6">
        <v>13</v>
      </c>
      <c r="AM6">
        <v>13</v>
      </c>
      <c r="AN6">
        <v>13</v>
      </c>
      <c r="AO6">
        <v>13</v>
      </c>
      <c r="AP6">
        <v>15</v>
      </c>
      <c r="AQ6">
        <v>15</v>
      </c>
      <c r="AR6">
        <v>13</v>
      </c>
      <c r="AS6">
        <v>13</v>
      </c>
      <c r="AT6">
        <v>13</v>
      </c>
      <c r="AU6">
        <v>405</v>
      </c>
      <c r="AV6">
        <f t="shared" si="3"/>
        <v>135</v>
      </c>
      <c r="AW6">
        <v>10</v>
      </c>
      <c r="AX6">
        <v>42</v>
      </c>
      <c r="AY6">
        <v>45</v>
      </c>
      <c r="AZ6">
        <v>41</v>
      </c>
      <c r="BA6">
        <v>41</v>
      </c>
      <c r="BB6">
        <v>41</v>
      </c>
      <c r="BC6">
        <v>40</v>
      </c>
      <c r="BD6">
        <v>41</v>
      </c>
      <c r="BE6">
        <v>41</v>
      </c>
      <c r="BF6">
        <v>40</v>
      </c>
      <c r="BG6">
        <v>1152</v>
      </c>
      <c r="BH6">
        <f t="shared" si="4"/>
        <v>384</v>
      </c>
    </row>
    <row r="7" spans="1:60" x14ac:dyDescent="0.25">
      <c r="A7">
        <v>11</v>
      </c>
      <c r="B7">
        <v>23315</v>
      </c>
      <c r="C7">
        <v>172761</v>
      </c>
      <c r="D7">
        <v>463</v>
      </c>
      <c r="E7">
        <v>313</v>
      </c>
      <c r="F7">
        <v>303100</v>
      </c>
      <c r="G7">
        <v>274382</v>
      </c>
      <c r="H7">
        <v>419</v>
      </c>
      <c r="I7">
        <v>330</v>
      </c>
      <c r="J7">
        <v>269101</v>
      </c>
      <c r="K7">
        <v>3132600</v>
      </c>
      <c r="L7">
        <f t="shared" si="1"/>
        <v>1044200</v>
      </c>
      <c r="M7">
        <v>11</v>
      </c>
      <c r="N7">
        <v>87</v>
      </c>
      <c r="O7">
        <v>120</v>
      </c>
      <c r="P7">
        <v>324</v>
      </c>
      <c r="Q7">
        <v>238</v>
      </c>
      <c r="R7">
        <v>236</v>
      </c>
      <c r="S7">
        <v>184</v>
      </c>
      <c r="T7">
        <v>244</v>
      </c>
      <c r="U7">
        <v>226</v>
      </c>
      <c r="V7">
        <v>127</v>
      </c>
      <c r="W7">
        <v>5396</v>
      </c>
      <c r="X7">
        <f t="shared" si="0"/>
        <v>1798.6666666666667</v>
      </c>
      <c r="Y7">
        <v>11</v>
      </c>
      <c r="Z7">
        <v>85</v>
      </c>
      <c r="AA7">
        <v>103</v>
      </c>
      <c r="AB7">
        <v>96</v>
      </c>
      <c r="AC7">
        <v>100</v>
      </c>
      <c r="AD7">
        <v>117</v>
      </c>
      <c r="AE7">
        <v>122</v>
      </c>
      <c r="AF7">
        <v>103</v>
      </c>
      <c r="AG7">
        <v>99</v>
      </c>
      <c r="AH7">
        <v>113</v>
      </c>
      <c r="AI7">
        <v>2852</v>
      </c>
      <c r="AJ7">
        <f t="shared" si="2"/>
        <v>950.66666666666663</v>
      </c>
      <c r="AK7">
        <v>11</v>
      </c>
      <c r="AL7">
        <v>14</v>
      </c>
      <c r="AM7">
        <v>15</v>
      </c>
      <c r="AN7">
        <v>18</v>
      </c>
      <c r="AO7">
        <v>17</v>
      </c>
      <c r="AP7">
        <v>26</v>
      </c>
      <c r="AQ7">
        <v>26</v>
      </c>
      <c r="AR7">
        <v>16</v>
      </c>
      <c r="AS7">
        <v>17</v>
      </c>
      <c r="AT7">
        <v>15</v>
      </c>
      <c r="AU7">
        <v>530</v>
      </c>
      <c r="AV7">
        <f t="shared" si="3"/>
        <v>176.66666666666666</v>
      </c>
      <c r="AW7">
        <v>11</v>
      </c>
      <c r="AX7">
        <v>46</v>
      </c>
      <c r="AY7">
        <v>41</v>
      </c>
      <c r="AZ7">
        <v>40</v>
      </c>
      <c r="BA7">
        <v>40</v>
      </c>
      <c r="BB7">
        <v>41</v>
      </c>
      <c r="BC7">
        <v>42</v>
      </c>
      <c r="BD7">
        <v>40</v>
      </c>
      <c r="BE7">
        <v>41</v>
      </c>
      <c r="BF7">
        <v>40</v>
      </c>
      <c r="BG7">
        <v>1153</v>
      </c>
      <c r="BH7">
        <f t="shared" si="4"/>
        <v>384.33333333333331</v>
      </c>
    </row>
    <row r="8" spans="1:60" x14ac:dyDescent="0.25">
      <c r="M8">
        <v>12</v>
      </c>
      <c r="N8">
        <v>137</v>
      </c>
      <c r="O8">
        <v>274</v>
      </c>
      <c r="P8">
        <v>2797</v>
      </c>
      <c r="Q8">
        <v>1747</v>
      </c>
      <c r="R8">
        <v>1291</v>
      </c>
      <c r="S8">
        <v>734</v>
      </c>
      <c r="T8">
        <v>1908</v>
      </c>
      <c r="U8">
        <v>1538</v>
      </c>
      <c r="V8">
        <v>328</v>
      </c>
      <c r="W8">
        <v>32303</v>
      </c>
      <c r="X8">
        <f t="shared" si="0"/>
        <v>10767.666666666666</v>
      </c>
      <c r="Y8">
        <v>12</v>
      </c>
      <c r="Z8">
        <v>120</v>
      </c>
      <c r="AA8">
        <v>172</v>
      </c>
      <c r="AB8">
        <v>162</v>
      </c>
      <c r="AC8">
        <v>159</v>
      </c>
      <c r="AD8">
        <v>256</v>
      </c>
      <c r="AE8">
        <v>265</v>
      </c>
      <c r="AF8">
        <v>173</v>
      </c>
      <c r="AG8">
        <v>173</v>
      </c>
      <c r="AH8">
        <v>200</v>
      </c>
      <c r="AI8">
        <v>5080</v>
      </c>
      <c r="AJ8">
        <f t="shared" si="2"/>
        <v>1693.3333333333333</v>
      </c>
      <c r="AK8">
        <v>12</v>
      </c>
      <c r="AL8">
        <v>20</v>
      </c>
      <c r="AM8">
        <v>27</v>
      </c>
      <c r="AN8">
        <v>44</v>
      </c>
      <c r="AO8">
        <v>45</v>
      </c>
      <c r="AP8">
        <v>99</v>
      </c>
      <c r="AQ8">
        <v>105</v>
      </c>
      <c r="AR8">
        <v>38</v>
      </c>
      <c r="AS8">
        <v>38</v>
      </c>
      <c r="AT8">
        <v>28</v>
      </c>
      <c r="AU8">
        <v>1374</v>
      </c>
      <c r="AV8">
        <f t="shared" si="3"/>
        <v>458</v>
      </c>
      <c r="AW8">
        <v>12</v>
      </c>
      <c r="AX8">
        <v>46</v>
      </c>
      <c r="AY8">
        <v>43</v>
      </c>
      <c r="AZ8">
        <v>48</v>
      </c>
      <c r="BA8">
        <v>49</v>
      </c>
      <c r="BB8">
        <v>64</v>
      </c>
      <c r="BC8">
        <v>63</v>
      </c>
      <c r="BD8">
        <v>51</v>
      </c>
      <c r="BE8">
        <v>51</v>
      </c>
      <c r="BF8">
        <v>45</v>
      </c>
      <c r="BG8">
        <v>1417</v>
      </c>
      <c r="BH8">
        <f t="shared" si="4"/>
        <v>472.33333333333331</v>
      </c>
    </row>
    <row r="9" spans="1:60" x14ac:dyDescent="0.25">
      <c r="M9">
        <v>13</v>
      </c>
      <c r="N9">
        <v>318</v>
      </c>
      <c r="O9">
        <v>1342</v>
      </c>
      <c r="P9">
        <v>42361</v>
      </c>
      <c r="Q9">
        <v>24686</v>
      </c>
      <c r="R9">
        <v>11859</v>
      </c>
      <c r="S9">
        <v>5479</v>
      </c>
      <c r="T9">
        <v>24363</v>
      </c>
      <c r="U9">
        <v>19987</v>
      </c>
      <c r="V9">
        <v>1958</v>
      </c>
      <c r="W9">
        <v>397098</v>
      </c>
      <c r="X9">
        <f t="shared" si="0"/>
        <v>132366</v>
      </c>
      <c r="Y9">
        <v>13</v>
      </c>
      <c r="Z9">
        <v>241</v>
      </c>
      <c r="AA9">
        <v>565</v>
      </c>
      <c r="AB9">
        <v>528</v>
      </c>
      <c r="AC9">
        <v>499</v>
      </c>
      <c r="AD9">
        <v>1304</v>
      </c>
      <c r="AE9">
        <v>1147</v>
      </c>
      <c r="AF9">
        <v>614</v>
      </c>
      <c r="AG9">
        <v>582</v>
      </c>
      <c r="AH9">
        <v>713</v>
      </c>
      <c r="AI9">
        <v>18623</v>
      </c>
      <c r="AJ9">
        <f t="shared" si="2"/>
        <v>6207.666666666667</v>
      </c>
      <c r="AK9">
        <v>13</v>
      </c>
      <c r="AL9">
        <v>65</v>
      </c>
      <c r="AM9">
        <v>98</v>
      </c>
      <c r="AN9">
        <v>240</v>
      </c>
      <c r="AO9">
        <v>254</v>
      </c>
      <c r="AP9">
        <v>670</v>
      </c>
      <c r="AQ9">
        <v>686</v>
      </c>
      <c r="AR9">
        <v>193</v>
      </c>
      <c r="AS9">
        <v>202</v>
      </c>
      <c r="AT9">
        <v>117</v>
      </c>
      <c r="AU9">
        <v>7617</v>
      </c>
      <c r="AV9">
        <f t="shared" si="3"/>
        <v>2539</v>
      </c>
      <c r="AW9">
        <v>13</v>
      </c>
      <c r="AX9">
        <v>68</v>
      </c>
      <c r="AY9">
        <v>73</v>
      </c>
      <c r="AZ9">
        <v>106</v>
      </c>
      <c r="BA9">
        <v>107</v>
      </c>
      <c r="BB9">
        <v>211</v>
      </c>
      <c r="BC9">
        <v>224</v>
      </c>
      <c r="BD9">
        <v>101</v>
      </c>
      <c r="BE9">
        <v>107</v>
      </c>
      <c r="BF9">
        <v>80</v>
      </c>
      <c r="BG9">
        <v>3271</v>
      </c>
      <c r="BH9">
        <f t="shared" si="4"/>
        <v>1090.3333333333333</v>
      </c>
    </row>
    <row r="10" spans="1:60" x14ac:dyDescent="0.25">
      <c r="M10">
        <v>14</v>
      </c>
      <c r="N10">
        <v>1374</v>
      </c>
      <c r="O10">
        <v>11561</v>
      </c>
      <c r="P10">
        <v>719477</v>
      </c>
      <c r="Q10">
        <v>420796</v>
      </c>
      <c r="R10">
        <v>136273</v>
      </c>
      <c r="S10">
        <v>54807</v>
      </c>
      <c r="T10">
        <v>394754</v>
      </c>
      <c r="U10">
        <v>308644</v>
      </c>
      <c r="V10">
        <v>18688</v>
      </c>
      <c r="W10">
        <v>6199168</v>
      </c>
      <c r="X10">
        <f t="shared" si="0"/>
        <v>2066389.3333333333</v>
      </c>
      <c r="Y10">
        <v>14</v>
      </c>
      <c r="Z10">
        <v>936</v>
      </c>
      <c r="AA10">
        <v>3198</v>
      </c>
      <c r="AB10">
        <v>3265</v>
      </c>
      <c r="AC10">
        <v>3020</v>
      </c>
      <c r="AD10">
        <v>8557</v>
      </c>
      <c r="AE10">
        <v>7575</v>
      </c>
      <c r="AF10">
        <v>3596</v>
      </c>
      <c r="AG10">
        <v>3488</v>
      </c>
      <c r="AH10">
        <v>4355</v>
      </c>
      <c r="AI10">
        <v>114010</v>
      </c>
      <c r="AJ10">
        <f t="shared" si="2"/>
        <v>38003.333333333336</v>
      </c>
      <c r="AK10">
        <v>14</v>
      </c>
      <c r="AL10">
        <v>399</v>
      </c>
      <c r="AM10">
        <v>664</v>
      </c>
      <c r="AN10">
        <v>1831</v>
      </c>
      <c r="AO10">
        <v>1922</v>
      </c>
      <c r="AP10">
        <v>5150</v>
      </c>
      <c r="AQ10">
        <v>5264</v>
      </c>
      <c r="AR10">
        <v>1392</v>
      </c>
      <c r="AS10">
        <v>1479</v>
      </c>
      <c r="AT10">
        <v>791</v>
      </c>
      <c r="AU10">
        <v>56722</v>
      </c>
      <c r="AV10">
        <f t="shared" si="3"/>
        <v>18907.333333333332</v>
      </c>
      <c r="AW10">
        <v>14</v>
      </c>
      <c r="AX10">
        <v>230</v>
      </c>
      <c r="AY10">
        <v>292</v>
      </c>
      <c r="AZ10">
        <v>554</v>
      </c>
      <c r="BA10">
        <v>572</v>
      </c>
      <c r="BB10">
        <v>1294</v>
      </c>
      <c r="BC10">
        <v>1307</v>
      </c>
      <c r="BD10">
        <v>447</v>
      </c>
      <c r="BE10">
        <v>482</v>
      </c>
      <c r="BF10">
        <v>322</v>
      </c>
      <c r="BG10">
        <v>16541</v>
      </c>
      <c r="BH10">
        <f t="shared" si="4"/>
        <v>5513.666666666667</v>
      </c>
    </row>
    <row r="11" spans="1:60" x14ac:dyDescent="0.25">
      <c r="Y11">
        <v>15</v>
      </c>
      <c r="Z11">
        <v>5714</v>
      </c>
      <c r="AA11">
        <v>24763</v>
      </c>
      <c r="AB11">
        <v>27028</v>
      </c>
      <c r="AC11">
        <v>24165</v>
      </c>
      <c r="AD11">
        <v>68837</v>
      </c>
      <c r="AE11">
        <v>59067</v>
      </c>
      <c r="AF11">
        <v>27159</v>
      </c>
      <c r="AG11">
        <v>26870</v>
      </c>
      <c r="AH11">
        <v>32876</v>
      </c>
      <c r="AI11">
        <v>889477</v>
      </c>
      <c r="AJ11">
        <f t="shared" si="2"/>
        <v>296492.33333333331</v>
      </c>
      <c r="AK11">
        <v>15</v>
      </c>
      <c r="AL11">
        <v>2912</v>
      </c>
      <c r="AM11">
        <v>5182</v>
      </c>
      <c r="AN11">
        <v>15300</v>
      </c>
      <c r="AO11">
        <v>15722</v>
      </c>
      <c r="AP11">
        <v>41552</v>
      </c>
      <c r="AQ11">
        <v>41938</v>
      </c>
      <c r="AR11">
        <v>11116</v>
      </c>
      <c r="AS11">
        <v>11676</v>
      </c>
      <c r="AT11">
        <v>5974</v>
      </c>
      <c r="AU11">
        <v>454155</v>
      </c>
      <c r="AV11">
        <f t="shared" si="3"/>
        <v>151385</v>
      </c>
      <c r="AW11">
        <v>15</v>
      </c>
      <c r="AX11">
        <v>1355</v>
      </c>
      <c r="AY11">
        <v>1878</v>
      </c>
      <c r="AZ11">
        <v>3940</v>
      </c>
      <c r="BA11">
        <v>4139</v>
      </c>
      <c r="BB11">
        <v>9927</v>
      </c>
      <c r="BC11">
        <v>10033</v>
      </c>
      <c r="BD11">
        <v>3161</v>
      </c>
      <c r="BE11">
        <v>3269</v>
      </c>
      <c r="BF11">
        <v>2082</v>
      </c>
      <c r="BG11">
        <v>119391</v>
      </c>
      <c r="BH11">
        <f t="shared" si="4"/>
        <v>39797</v>
      </c>
    </row>
    <row r="12" spans="1:60" x14ac:dyDescent="0.25">
      <c r="AW12">
        <v>16</v>
      </c>
      <c r="AX12">
        <v>9776</v>
      </c>
      <c r="AY12">
        <v>14007</v>
      </c>
      <c r="AZ12">
        <v>32938</v>
      </c>
      <c r="BA12">
        <v>33893</v>
      </c>
      <c r="BB12">
        <v>81591</v>
      </c>
      <c r="BC12">
        <v>81046</v>
      </c>
      <c r="BD12">
        <v>24607</v>
      </c>
      <c r="BE12">
        <v>25657</v>
      </c>
      <c r="BF12">
        <v>15460</v>
      </c>
      <c r="BG12">
        <v>956966</v>
      </c>
      <c r="BH12">
        <f t="shared" si="4"/>
        <v>318988.66666666669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320A-9662-40E2-B778-E3D84E39ECEA}">
  <dimension ref="A1:X11"/>
  <sheetViews>
    <sheetView zoomScale="70" zoomScaleNormal="70" workbookViewId="0">
      <selection activeCell="I25" sqref="I25"/>
    </sheetView>
  </sheetViews>
  <sheetFormatPr defaultRowHeight="15" x14ac:dyDescent="0.25"/>
  <sheetData>
    <row r="1" spans="1:24" x14ac:dyDescent="0.25">
      <c r="A1" t="s">
        <v>29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22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</row>
    <row r="2" spans="1:24" x14ac:dyDescent="0.25">
      <c r="A2">
        <v>6</v>
      </c>
      <c r="B2">
        <v>74</v>
      </c>
      <c r="C2">
        <v>67</v>
      </c>
      <c r="D2">
        <v>66</v>
      </c>
      <c r="E2">
        <v>75</v>
      </c>
      <c r="F2">
        <v>69</v>
      </c>
      <c r="G2">
        <v>69</v>
      </c>
      <c r="H2">
        <v>67</v>
      </c>
      <c r="I2">
        <v>66</v>
      </c>
      <c r="J2">
        <v>66</v>
      </c>
      <c r="K2">
        <v>1896</v>
      </c>
      <c r="L2">
        <f>K2/3</f>
        <v>632</v>
      </c>
      <c r="M2">
        <v>6</v>
      </c>
      <c r="N2">
        <v>12</v>
      </c>
      <c r="O2">
        <v>12</v>
      </c>
      <c r="P2">
        <v>13</v>
      </c>
      <c r="Q2">
        <v>13</v>
      </c>
      <c r="R2">
        <v>12</v>
      </c>
      <c r="S2">
        <v>12</v>
      </c>
      <c r="T2">
        <v>12</v>
      </c>
      <c r="U2">
        <v>13</v>
      </c>
      <c r="V2">
        <v>13</v>
      </c>
      <c r="W2">
        <v>371</v>
      </c>
      <c r="X2" s="2">
        <f>W2/3</f>
        <v>123.66666666666667</v>
      </c>
    </row>
    <row r="3" spans="1:24" x14ac:dyDescent="0.25">
      <c r="A3">
        <v>7</v>
      </c>
      <c r="B3">
        <v>68</v>
      </c>
      <c r="C3">
        <v>64</v>
      </c>
      <c r="D3">
        <v>65</v>
      </c>
      <c r="E3">
        <v>65</v>
      </c>
      <c r="F3">
        <v>70</v>
      </c>
      <c r="G3">
        <v>69</v>
      </c>
      <c r="H3">
        <v>65</v>
      </c>
      <c r="I3">
        <v>66</v>
      </c>
      <c r="J3">
        <v>68</v>
      </c>
      <c r="K3">
        <v>1838</v>
      </c>
      <c r="L3">
        <f t="shared" ref="L3:L11" si="0">K3/3</f>
        <v>612.66666666666663</v>
      </c>
      <c r="M3">
        <v>7</v>
      </c>
      <c r="N3">
        <v>13</v>
      </c>
      <c r="O3">
        <v>13</v>
      </c>
      <c r="P3">
        <v>13</v>
      </c>
      <c r="Q3">
        <v>13</v>
      </c>
      <c r="R3">
        <v>12</v>
      </c>
      <c r="S3">
        <v>13</v>
      </c>
      <c r="T3">
        <v>13</v>
      </c>
      <c r="U3">
        <v>13</v>
      </c>
      <c r="V3">
        <v>13</v>
      </c>
      <c r="W3">
        <v>385</v>
      </c>
      <c r="X3">
        <f t="shared" ref="X3:X11" si="1">W3/3</f>
        <v>128.33333333333334</v>
      </c>
    </row>
    <row r="4" spans="1:24" x14ac:dyDescent="0.25">
      <c r="A4">
        <v>8</v>
      </c>
      <c r="B4">
        <v>68</v>
      </c>
      <c r="C4">
        <v>70</v>
      </c>
      <c r="D4">
        <v>70</v>
      </c>
      <c r="E4">
        <v>69</v>
      </c>
      <c r="F4">
        <v>71</v>
      </c>
      <c r="G4">
        <v>70</v>
      </c>
      <c r="H4">
        <v>71</v>
      </c>
      <c r="I4">
        <v>66</v>
      </c>
      <c r="J4">
        <v>67</v>
      </c>
      <c r="K4">
        <v>1909</v>
      </c>
      <c r="L4">
        <f t="shared" si="0"/>
        <v>636.33333333333337</v>
      </c>
      <c r="M4">
        <v>8</v>
      </c>
      <c r="N4">
        <v>13</v>
      </c>
      <c r="O4">
        <v>13</v>
      </c>
      <c r="P4">
        <v>13</v>
      </c>
      <c r="Q4">
        <v>12</v>
      </c>
      <c r="R4">
        <v>12</v>
      </c>
      <c r="S4">
        <v>12</v>
      </c>
      <c r="T4">
        <v>12</v>
      </c>
      <c r="U4">
        <v>12</v>
      </c>
      <c r="V4">
        <v>12</v>
      </c>
      <c r="W4">
        <v>375</v>
      </c>
      <c r="X4">
        <f t="shared" si="1"/>
        <v>125</v>
      </c>
    </row>
    <row r="5" spans="1:24" x14ac:dyDescent="0.25">
      <c r="A5">
        <v>9</v>
      </c>
      <c r="B5">
        <v>68</v>
      </c>
      <c r="C5">
        <v>72</v>
      </c>
      <c r="D5">
        <v>75</v>
      </c>
      <c r="E5">
        <v>70</v>
      </c>
      <c r="F5">
        <v>81</v>
      </c>
      <c r="G5">
        <v>76</v>
      </c>
      <c r="H5">
        <v>71</v>
      </c>
      <c r="I5">
        <v>73</v>
      </c>
      <c r="J5">
        <v>72</v>
      </c>
      <c r="K5">
        <v>2012</v>
      </c>
      <c r="L5">
        <f t="shared" si="0"/>
        <v>670.66666666666663</v>
      </c>
      <c r="M5">
        <v>9</v>
      </c>
      <c r="N5">
        <v>13</v>
      </c>
      <c r="O5">
        <v>13</v>
      </c>
      <c r="P5">
        <v>12</v>
      </c>
      <c r="Q5">
        <v>13</v>
      </c>
      <c r="R5">
        <v>13</v>
      </c>
      <c r="S5">
        <v>13</v>
      </c>
      <c r="T5">
        <v>13</v>
      </c>
      <c r="U5">
        <v>13</v>
      </c>
      <c r="V5">
        <v>12</v>
      </c>
      <c r="W5">
        <v>383</v>
      </c>
      <c r="X5">
        <f t="shared" si="1"/>
        <v>127.66666666666667</v>
      </c>
    </row>
    <row r="6" spans="1:24" x14ac:dyDescent="0.25">
      <c r="A6">
        <v>10</v>
      </c>
      <c r="B6">
        <v>71</v>
      </c>
      <c r="C6">
        <v>81</v>
      </c>
      <c r="D6">
        <v>81</v>
      </c>
      <c r="E6">
        <v>78</v>
      </c>
      <c r="F6">
        <v>87</v>
      </c>
      <c r="G6">
        <v>83</v>
      </c>
      <c r="H6">
        <v>81</v>
      </c>
      <c r="I6">
        <v>82</v>
      </c>
      <c r="J6">
        <v>81</v>
      </c>
      <c r="K6">
        <v>2220</v>
      </c>
      <c r="L6">
        <f t="shared" si="0"/>
        <v>740</v>
      </c>
      <c r="M6">
        <v>10</v>
      </c>
      <c r="N6">
        <v>13</v>
      </c>
      <c r="O6">
        <v>14</v>
      </c>
      <c r="P6">
        <v>14</v>
      </c>
      <c r="Q6">
        <v>13</v>
      </c>
      <c r="R6">
        <v>16</v>
      </c>
      <c r="S6">
        <v>16</v>
      </c>
      <c r="T6">
        <v>14</v>
      </c>
      <c r="U6">
        <v>14</v>
      </c>
      <c r="V6">
        <v>15</v>
      </c>
      <c r="W6">
        <v>424</v>
      </c>
      <c r="X6">
        <f t="shared" si="1"/>
        <v>141.33333333333334</v>
      </c>
    </row>
    <row r="7" spans="1:24" x14ac:dyDescent="0.25">
      <c r="A7">
        <v>11</v>
      </c>
      <c r="B7">
        <v>85</v>
      </c>
      <c r="C7">
        <v>103</v>
      </c>
      <c r="D7">
        <v>96</v>
      </c>
      <c r="E7">
        <v>100</v>
      </c>
      <c r="F7">
        <v>117</v>
      </c>
      <c r="G7">
        <v>122</v>
      </c>
      <c r="H7">
        <v>103</v>
      </c>
      <c r="I7">
        <v>99</v>
      </c>
      <c r="J7">
        <v>113</v>
      </c>
      <c r="K7">
        <v>2852</v>
      </c>
      <c r="L7">
        <f t="shared" si="0"/>
        <v>950.66666666666663</v>
      </c>
      <c r="M7">
        <v>11</v>
      </c>
      <c r="N7">
        <v>15</v>
      </c>
      <c r="O7">
        <v>19</v>
      </c>
      <c r="P7">
        <v>18</v>
      </c>
      <c r="Q7">
        <v>18</v>
      </c>
      <c r="R7">
        <v>30</v>
      </c>
      <c r="S7">
        <v>29</v>
      </c>
      <c r="T7">
        <v>20</v>
      </c>
      <c r="U7">
        <v>20</v>
      </c>
      <c r="V7">
        <v>22</v>
      </c>
      <c r="W7">
        <v>612</v>
      </c>
      <c r="X7">
        <f t="shared" si="1"/>
        <v>204</v>
      </c>
    </row>
    <row r="8" spans="1:24" x14ac:dyDescent="0.25">
      <c r="A8">
        <v>12</v>
      </c>
      <c r="B8">
        <v>120</v>
      </c>
      <c r="C8">
        <v>172</v>
      </c>
      <c r="D8">
        <v>162</v>
      </c>
      <c r="E8">
        <v>159</v>
      </c>
      <c r="F8">
        <v>256</v>
      </c>
      <c r="G8">
        <v>265</v>
      </c>
      <c r="H8">
        <v>173</v>
      </c>
      <c r="I8">
        <v>173</v>
      </c>
      <c r="J8">
        <v>200</v>
      </c>
      <c r="K8">
        <v>5080</v>
      </c>
      <c r="L8">
        <f t="shared" si="0"/>
        <v>1693.3333333333333</v>
      </c>
      <c r="M8">
        <v>12</v>
      </c>
      <c r="N8">
        <v>25</v>
      </c>
      <c r="O8">
        <v>58</v>
      </c>
      <c r="P8">
        <v>56</v>
      </c>
      <c r="Q8">
        <v>52</v>
      </c>
      <c r="R8">
        <v>140</v>
      </c>
      <c r="S8">
        <v>145</v>
      </c>
      <c r="T8">
        <v>71</v>
      </c>
      <c r="U8">
        <v>64</v>
      </c>
      <c r="V8">
        <v>81</v>
      </c>
      <c r="W8">
        <v>2114</v>
      </c>
      <c r="X8">
        <f t="shared" si="1"/>
        <v>704.66666666666663</v>
      </c>
    </row>
    <row r="9" spans="1:24" x14ac:dyDescent="0.25">
      <c r="A9">
        <v>13</v>
      </c>
      <c r="B9">
        <v>241</v>
      </c>
      <c r="C9">
        <v>565</v>
      </c>
      <c r="D9">
        <v>528</v>
      </c>
      <c r="E9">
        <v>499</v>
      </c>
      <c r="F9">
        <v>1304</v>
      </c>
      <c r="G9">
        <v>1147</v>
      </c>
      <c r="H9">
        <v>614</v>
      </c>
      <c r="I9">
        <v>582</v>
      </c>
      <c r="J9">
        <v>713</v>
      </c>
      <c r="K9">
        <v>18623</v>
      </c>
      <c r="L9">
        <f t="shared" si="0"/>
        <v>6207.666666666667</v>
      </c>
      <c r="M9">
        <v>13</v>
      </c>
      <c r="N9">
        <v>103</v>
      </c>
      <c r="O9">
        <v>361</v>
      </c>
      <c r="P9">
        <v>336</v>
      </c>
      <c r="Q9">
        <v>306</v>
      </c>
      <c r="R9">
        <v>908</v>
      </c>
      <c r="S9">
        <v>850</v>
      </c>
      <c r="T9">
        <v>401</v>
      </c>
      <c r="U9">
        <v>378</v>
      </c>
      <c r="V9">
        <v>510</v>
      </c>
      <c r="W9">
        <v>12499</v>
      </c>
      <c r="X9">
        <f t="shared" si="1"/>
        <v>4166.333333333333</v>
      </c>
    </row>
    <row r="10" spans="1:24" x14ac:dyDescent="0.25">
      <c r="A10">
        <v>14</v>
      </c>
      <c r="B10">
        <v>936</v>
      </c>
      <c r="C10">
        <v>3198</v>
      </c>
      <c r="D10">
        <v>3265</v>
      </c>
      <c r="E10">
        <v>3020</v>
      </c>
      <c r="F10">
        <v>8557</v>
      </c>
      <c r="G10">
        <v>7575</v>
      </c>
      <c r="H10">
        <v>3596</v>
      </c>
      <c r="I10">
        <v>3488</v>
      </c>
      <c r="J10">
        <v>4355</v>
      </c>
      <c r="K10">
        <v>114010</v>
      </c>
      <c r="L10">
        <f t="shared" si="0"/>
        <v>38003.333333333336</v>
      </c>
      <c r="M10">
        <v>14</v>
      </c>
      <c r="N10">
        <v>655</v>
      </c>
      <c r="O10">
        <v>2772</v>
      </c>
      <c r="P10">
        <v>2596</v>
      </c>
      <c r="Q10">
        <v>2364</v>
      </c>
      <c r="R10">
        <v>7054</v>
      </c>
      <c r="S10">
        <v>6563</v>
      </c>
      <c r="T10">
        <v>2992</v>
      </c>
      <c r="U10">
        <v>2863</v>
      </c>
      <c r="V10">
        <v>3782</v>
      </c>
      <c r="W10">
        <v>94966</v>
      </c>
      <c r="X10">
        <f t="shared" si="1"/>
        <v>31655.333333333332</v>
      </c>
    </row>
    <row r="11" spans="1:24" x14ac:dyDescent="0.25">
      <c r="A11">
        <v>15</v>
      </c>
      <c r="B11">
        <v>5714</v>
      </c>
      <c r="C11">
        <v>24763</v>
      </c>
      <c r="D11">
        <v>27028</v>
      </c>
      <c r="E11">
        <v>24165</v>
      </c>
      <c r="F11">
        <v>68837</v>
      </c>
      <c r="G11">
        <v>59067</v>
      </c>
      <c r="H11">
        <v>27159</v>
      </c>
      <c r="I11">
        <v>26870</v>
      </c>
      <c r="J11">
        <v>32876</v>
      </c>
      <c r="K11">
        <v>889477</v>
      </c>
      <c r="L11">
        <f t="shared" si="0"/>
        <v>296492.33333333331</v>
      </c>
      <c r="M11">
        <v>15</v>
      </c>
      <c r="N11">
        <v>4746</v>
      </c>
      <c r="O11">
        <v>22611</v>
      </c>
      <c r="P11">
        <v>21815</v>
      </c>
      <c r="Q11">
        <v>19283</v>
      </c>
      <c r="R11">
        <v>56686</v>
      </c>
      <c r="S11">
        <v>51872</v>
      </c>
      <c r="T11">
        <v>23843</v>
      </c>
      <c r="U11">
        <v>22787</v>
      </c>
      <c r="V11">
        <v>29537</v>
      </c>
      <c r="W11">
        <v>759582</v>
      </c>
      <c r="X11">
        <f t="shared" si="1"/>
        <v>253194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D09A-3D49-457B-9EEA-31B1B3641BEA}">
  <dimension ref="A1:AJ11"/>
  <sheetViews>
    <sheetView zoomScale="70" zoomScaleNormal="70" workbookViewId="0">
      <selection activeCell="K19" sqref="K19"/>
    </sheetView>
  </sheetViews>
  <sheetFormatPr defaultRowHeight="15" x14ac:dyDescent="0.25"/>
  <sheetData>
    <row r="1" spans="1:36" x14ac:dyDescent="0.25">
      <c r="A1" t="s">
        <v>29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27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  <c r="Y1" t="s">
        <v>33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34</v>
      </c>
    </row>
    <row r="2" spans="1:36" x14ac:dyDescent="0.25">
      <c r="A2">
        <v>6</v>
      </c>
      <c r="B2">
        <v>74</v>
      </c>
      <c r="C2">
        <v>67</v>
      </c>
      <c r="D2">
        <v>66</v>
      </c>
      <c r="E2">
        <v>75</v>
      </c>
      <c r="F2">
        <v>69</v>
      </c>
      <c r="G2">
        <v>69</v>
      </c>
      <c r="H2">
        <v>67</v>
      </c>
      <c r="I2">
        <v>66</v>
      </c>
      <c r="J2">
        <v>66</v>
      </c>
      <c r="K2">
        <v>1896</v>
      </c>
      <c r="L2">
        <f>K2/3</f>
        <v>632</v>
      </c>
      <c r="M2">
        <v>6</v>
      </c>
      <c r="N2">
        <v>68</v>
      </c>
      <c r="O2">
        <v>70</v>
      </c>
      <c r="P2">
        <v>65</v>
      </c>
      <c r="Q2">
        <v>67</v>
      </c>
      <c r="R2">
        <v>68</v>
      </c>
      <c r="S2">
        <v>67</v>
      </c>
      <c r="T2">
        <v>69</v>
      </c>
      <c r="U2">
        <v>68</v>
      </c>
      <c r="V2">
        <v>67</v>
      </c>
      <c r="W2">
        <v>1868</v>
      </c>
      <c r="X2">
        <f t="shared" ref="X2:X11" si="0">W2/3</f>
        <v>622.66666666666663</v>
      </c>
      <c r="Y2">
        <v>6</v>
      </c>
      <c r="Z2">
        <v>78</v>
      </c>
      <c r="AA2">
        <v>78</v>
      </c>
      <c r="AB2">
        <v>80</v>
      </c>
      <c r="AC2">
        <v>78</v>
      </c>
      <c r="AD2">
        <v>81</v>
      </c>
      <c r="AE2">
        <v>75</v>
      </c>
      <c r="AF2">
        <v>81</v>
      </c>
      <c r="AG2">
        <v>76</v>
      </c>
      <c r="AH2">
        <v>74</v>
      </c>
      <c r="AI2">
        <v>2145</v>
      </c>
      <c r="AJ2">
        <f>AI2/3</f>
        <v>715</v>
      </c>
    </row>
    <row r="3" spans="1:36" x14ac:dyDescent="0.25">
      <c r="A3">
        <v>7</v>
      </c>
      <c r="B3">
        <v>68</v>
      </c>
      <c r="C3">
        <v>64</v>
      </c>
      <c r="D3">
        <v>65</v>
      </c>
      <c r="E3">
        <v>65</v>
      </c>
      <c r="F3">
        <v>70</v>
      </c>
      <c r="G3">
        <v>69</v>
      </c>
      <c r="H3">
        <v>65</v>
      </c>
      <c r="I3">
        <v>66</v>
      </c>
      <c r="J3">
        <v>68</v>
      </c>
      <c r="K3">
        <v>1838</v>
      </c>
      <c r="L3">
        <f t="shared" ref="L3:L11" si="1">K3/3</f>
        <v>612.66666666666663</v>
      </c>
      <c r="M3">
        <v>7</v>
      </c>
      <c r="N3">
        <v>66</v>
      </c>
      <c r="O3">
        <v>67</v>
      </c>
      <c r="P3">
        <v>64</v>
      </c>
      <c r="Q3">
        <v>67</v>
      </c>
      <c r="R3">
        <v>70</v>
      </c>
      <c r="S3">
        <v>67</v>
      </c>
      <c r="T3">
        <v>69</v>
      </c>
      <c r="U3">
        <v>69</v>
      </c>
      <c r="V3">
        <v>72</v>
      </c>
      <c r="W3">
        <v>1873</v>
      </c>
      <c r="X3">
        <f t="shared" si="0"/>
        <v>624.33333333333337</v>
      </c>
      <c r="Y3">
        <v>7</v>
      </c>
      <c r="Z3">
        <v>82</v>
      </c>
      <c r="AA3">
        <v>85</v>
      </c>
      <c r="AB3">
        <v>75</v>
      </c>
      <c r="AC3">
        <v>75</v>
      </c>
      <c r="AD3">
        <v>79</v>
      </c>
      <c r="AE3">
        <v>79</v>
      </c>
      <c r="AF3">
        <v>80</v>
      </c>
      <c r="AG3">
        <v>79</v>
      </c>
      <c r="AH3">
        <v>78</v>
      </c>
      <c r="AI3">
        <v>2175</v>
      </c>
      <c r="AJ3">
        <f t="shared" ref="AJ3:AJ11" si="2">AI3/3</f>
        <v>725</v>
      </c>
    </row>
    <row r="4" spans="1:36" x14ac:dyDescent="0.25">
      <c r="A4">
        <v>8</v>
      </c>
      <c r="B4">
        <v>68</v>
      </c>
      <c r="C4">
        <v>70</v>
      </c>
      <c r="D4">
        <v>70</v>
      </c>
      <c r="E4">
        <v>69</v>
      </c>
      <c r="F4">
        <v>71</v>
      </c>
      <c r="G4">
        <v>70</v>
      </c>
      <c r="H4">
        <v>71</v>
      </c>
      <c r="I4">
        <v>66</v>
      </c>
      <c r="J4">
        <v>67</v>
      </c>
      <c r="K4">
        <v>1909</v>
      </c>
      <c r="L4">
        <f t="shared" si="1"/>
        <v>636.33333333333337</v>
      </c>
      <c r="M4">
        <v>8</v>
      </c>
      <c r="N4">
        <v>67</v>
      </c>
      <c r="O4">
        <v>71</v>
      </c>
      <c r="P4">
        <v>69</v>
      </c>
      <c r="Q4">
        <v>70</v>
      </c>
      <c r="R4">
        <v>73</v>
      </c>
      <c r="S4">
        <v>72</v>
      </c>
      <c r="T4">
        <v>72</v>
      </c>
      <c r="U4">
        <v>79</v>
      </c>
      <c r="V4">
        <v>78</v>
      </c>
      <c r="W4">
        <v>1991</v>
      </c>
      <c r="X4">
        <f t="shared" si="0"/>
        <v>663.66666666666663</v>
      </c>
      <c r="Y4">
        <v>8</v>
      </c>
      <c r="Z4">
        <v>79</v>
      </c>
      <c r="AA4">
        <v>82</v>
      </c>
      <c r="AB4">
        <v>79</v>
      </c>
      <c r="AC4">
        <v>81</v>
      </c>
      <c r="AD4">
        <v>81</v>
      </c>
      <c r="AE4">
        <v>82</v>
      </c>
      <c r="AF4">
        <v>82</v>
      </c>
      <c r="AG4">
        <v>81</v>
      </c>
      <c r="AH4">
        <v>84</v>
      </c>
      <c r="AI4">
        <v>2236</v>
      </c>
      <c r="AJ4">
        <f t="shared" si="2"/>
        <v>745.33333333333337</v>
      </c>
    </row>
    <row r="5" spans="1:36" x14ac:dyDescent="0.25">
      <c r="A5">
        <v>9</v>
      </c>
      <c r="B5">
        <v>68</v>
      </c>
      <c r="C5">
        <v>72</v>
      </c>
      <c r="D5">
        <v>75</v>
      </c>
      <c r="E5">
        <v>70</v>
      </c>
      <c r="F5">
        <v>81</v>
      </c>
      <c r="G5">
        <v>76</v>
      </c>
      <c r="H5">
        <v>71</v>
      </c>
      <c r="I5">
        <v>73</v>
      </c>
      <c r="J5">
        <v>72</v>
      </c>
      <c r="K5">
        <v>2012</v>
      </c>
      <c r="L5">
        <f t="shared" si="1"/>
        <v>670.66666666666663</v>
      </c>
      <c r="M5">
        <v>9</v>
      </c>
      <c r="N5">
        <v>73</v>
      </c>
      <c r="O5">
        <v>78</v>
      </c>
      <c r="P5">
        <v>73</v>
      </c>
      <c r="Q5">
        <v>75</v>
      </c>
      <c r="R5">
        <v>84</v>
      </c>
      <c r="S5">
        <v>78</v>
      </c>
      <c r="T5">
        <v>72</v>
      </c>
      <c r="U5">
        <v>73</v>
      </c>
      <c r="V5">
        <v>78</v>
      </c>
      <c r="W5">
        <v>2091</v>
      </c>
      <c r="X5">
        <f t="shared" si="0"/>
        <v>697</v>
      </c>
      <c r="Y5">
        <v>9</v>
      </c>
      <c r="Z5">
        <v>82</v>
      </c>
      <c r="AA5">
        <v>91</v>
      </c>
      <c r="AB5">
        <v>77</v>
      </c>
      <c r="AC5">
        <v>85</v>
      </c>
      <c r="AD5">
        <v>94</v>
      </c>
      <c r="AE5">
        <v>93</v>
      </c>
      <c r="AF5">
        <v>86</v>
      </c>
      <c r="AG5">
        <v>95</v>
      </c>
      <c r="AH5">
        <v>95</v>
      </c>
      <c r="AI5">
        <v>2440</v>
      </c>
      <c r="AJ5">
        <f t="shared" si="2"/>
        <v>813.33333333333337</v>
      </c>
    </row>
    <row r="6" spans="1:36" x14ac:dyDescent="0.25">
      <c r="A6">
        <v>10</v>
      </c>
      <c r="B6">
        <v>71</v>
      </c>
      <c r="C6">
        <v>81</v>
      </c>
      <c r="D6">
        <v>81</v>
      </c>
      <c r="E6">
        <v>78</v>
      </c>
      <c r="F6">
        <v>87</v>
      </c>
      <c r="G6">
        <v>83</v>
      </c>
      <c r="H6">
        <v>81</v>
      </c>
      <c r="I6">
        <v>82</v>
      </c>
      <c r="J6">
        <v>81</v>
      </c>
      <c r="K6">
        <v>2220</v>
      </c>
      <c r="L6">
        <f t="shared" si="1"/>
        <v>740</v>
      </c>
      <c r="M6">
        <v>10</v>
      </c>
      <c r="N6">
        <v>75</v>
      </c>
      <c r="O6">
        <v>87</v>
      </c>
      <c r="P6">
        <v>84</v>
      </c>
      <c r="Q6">
        <v>89</v>
      </c>
      <c r="R6">
        <v>108</v>
      </c>
      <c r="S6">
        <v>97</v>
      </c>
      <c r="T6">
        <v>86</v>
      </c>
      <c r="U6">
        <v>88</v>
      </c>
      <c r="V6">
        <v>93</v>
      </c>
      <c r="W6">
        <v>2460</v>
      </c>
      <c r="X6">
        <f t="shared" si="0"/>
        <v>820</v>
      </c>
      <c r="Y6">
        <v>10</v>
      </c>
      <c r="Z6">
        <v>104</v>
      </c>
      <c r="AA6">
        <v>103</v>
      </c>
      <c r="AB6">
        <v>94</v>
      </c>
      <c r="AC6">
        <v>95</v>
      </c>
      <c r="AD6">
        <v>117</v>
      </c>
      <c r="AE6">
        <v>116</v>
      </c>
      <c r="AF6">
        <v>97</v>
      </c>
      <c r="AG6">
        <v>102</v>
      </c>
      <c r="AH6">
        <v>106</v>
      </c>
      <c r="AI6">
        <v>2843</v>
      </c>
      <c r="AJ6">
        <f t="shared" si="2"/>
        <v>947.66666666666663</v>
      </c>
    </row>
    <row r="7" spans="1:36" x14ac:dyDescent="0.25">
      <c r="A7">
        <v>11</v>
      </c>
      <c r="B7">
        <v>85</v>
      </c>
      <c r="C7">
        <v>103</v>
      </c>
      <c r="D7">
        <v>96</v>
      </c>
      <c r="E7">
        <v>100</v>
      </c>
      <c r="F7">
        <v>117</v>
      </c>
      <c r="G7">
        <v>122</v>
      </c>
      <c r="H7">
        <v>103</v>
      </c>
      <c r="I7">
        <v>99</v>
      </c>
      <c r="J7">
        <v>113</v>
      </c>
      <c r="K7">
        <v>2852</v>
      </c>
      <c r="L7">
        <f t="shared" si="1"/>
        <v>950.66666666666663</v>
      </c>
      <c r="M7">
        <v>11</v>
      </c>
      <c r="N7">
        <v>93</v>
      </c>
      <c r="O7">
        <v>136</v>
      </c>
      <c r="P7">
        <v>108</v>
      </c>
      <c r="Q7">
        <v>116</v>
      </c>
      <c r="R7">
        <v>216</v>
      </c>
      <c r="S7">
        <v>196</v>
      </c>
      <c r="T7">
        <v>115</v>
      </c>
      <c r="U7">
        <v>128</v>
      </c>
      <c r="V7">
        <v>147</v>
      </c>
      <c r="W7">
        <v>3807</v>
      </c>
      <c r="X7">
        <f t="shared" si="0"/>
        <v>1269</v>
      </c>
      <c r="Y7">
        <v>11</v>
      </c>
      <c r="Z7">
        <v>103</v>
      </c>
      <c r="AA7">
        <v>152</v>
      </c>
      <c r="AB7">
        <v>117</v>
      </c>
      <c r="AC7">
        <v>137</v>
      </c>
      <c r="AD7">
        <v>259</v>
      </c>
      <c r="AE7">
        <v>229</v>
      </c>
      <c r="AF7">
        <v>125</v>
      </c>
      <c r="AG7">
        <v>143</v>
      </c>
      <c r="AH7">
        <v>171</v>
      </c>
      <c r="AI7">
        <v>4354</v>
      </c>
      <c r="AJ7">
        <f t="shared" si="2"/>
        <v>1451.3333333333333</v>
      </c>
    </row>
    <row r="8" spans="1:36" x14ac:dyDescent="0.25">
      <c r="A8">
        <v>12</v>
      </c>
      <c r="B8">
        <v>120</v>
      </c>
      <c r="C8">
        <v>172</v>
      </c>
      <c r="D8">
        <v>162</v>
      </c>
      <c r="E8">
        <v>159</v>
      </c>
      <c r="F8">
        <v>256</v>
      </c>
      <c r="G8">
        <v>265</v>
      </c>
      <c r="H8">
        <v>173</v>
      </c>
      <c r="I8">
        <v>173</v>
      </c>
      <c r="J8">
        <v>200</v>
      </c>
      <c r="K8">
        <v>5080</v>
      </c>
      <c r="L8">
        <f t="shared" si="1"/>
        <v>1693.3333333333333</v>
      </c>
      <c r="M8">
        <v>12</v>
      </c>
      <c r="N8">
        <v>155</v>
      </c>
      <c r="O8">
        <v>382</v>
      </c>
      <c r="P8">
        <v>220</v>
      </c>
      <c r="Q8">
        <v>302</v>
      </c>
      <c r="R8">
        <v>1101</v>
      </c>
      <c r="S8">
        <v>893</v>
      </c>
      <c r="T8">
        <v>263</v>
      </c>
      <c r="U8">
        <v>349</v>
      </c>
      <c r="V8">
        <v>517</v>
      </c>
      <c r="W8">
        <v>12585</v>
      </c>
      <c r="X8">
        <f t="shared" si="0"/>
        <v>4195</v>
      </c>
      <c r="Y8">
        <v>12</v>
      </c>
      <c r="Z8">
        <v>175</v>
      </c>
      <c r="AA8">
        <v>441</v>
      </c>
      <c r="AB8">
        <v>253</v>
      </c>
      <c r="AC8">
        <v>336</v>
      </c>
      <c r="AD8">
        <v>1340</v>
      </c>
      <c r="AE8">
        <v>1076</v>
      </c>
      <c r="AF8">
        <v>291</v>
      </c>
      <c r="AG8">
        <v>417</v>
      </c>
      <c r="AH8">
        <v>640</v>
      </c>
      <c r="AI8">
        <v>14955</v>
      </c>
      <c r="AJ8">
        <f t="shared" si="2"/>
        <v>4985</v>
      </c>
    </row>
    <row r="9" spans="1:36" x14ac:dyDescent="0.25">
      <c r="A9">
        <v>13</v>
      </c>
      <c r="B9">
        <v>241</v>
      </c>
      <c r="C9">
        <v>565</v>
      </c>
      <c r="D9">
        <v>528</v>
      </c>
      <c r="E9">
        <v>499</v>
      </c>
      <c r="F9">
        <v>1304</v>
      </c>
      <c r="G9">
        <v>1147</v>
      </c>
      <c r="H9">
        <v>614</v>
      </c>
      <c r="I9">
        <v>582</v>
      </c>
      <c r="J9">
        <v>713</v>
      </c>
      <c r="K9">
        <v>18623</v>
      </c>
      <c r="L9">
        <f t="shared" si="1"/>
        <v>6207.666666666667</v>
      </c>
      <c r="M9">
        <v>13</v>
      </c>
      <c r="N9">
        <v>483</v>
      </c>
      <c r="O9">
        <v>2395</v>
      </c>
      <c r="P9">
        <v>1057</v>
      </c>
      <c r="Q9">
        <v>1682</v>
      </c>
      <c r="R9">
        <v>9160</v>
      </c>
      <c r="S9">
        <v>7125</v>
      </c>
      <c r="T9">
        <v>1373</v>
      </c>
      <c r="U9">
        <v>2288</v>
      </c>
      <c r="V9">
        <v>3612</v>
      </c>
      <c r="W9">
        <v>87565</v>
      </c>
      <c r="X9">
        <f t="shared" si="0"/>
        <v>29188.333333333332</v>
      </c>
      <c r="Y9">
        <v>13</v>
      </c>
      <c r="Z9">
        <v>570</v>
      </c>
      <c r="AA9">
        <v>3043</v>
      </c>
      <c r="AB9">
        <v>1225</v>
      </c>
      <c r="AC9">
        <v>1939</v>
      </c>
      <c r="AD9">
        <v>10429</v>
      </c>
      <c r="AE9">
        <v>7511</v>
      </c>
      <c r="AF9">
        <v>1358</v>
      </c>
      <c r="AG9">
        <v>2372</v>
      </c>
      <c r="AH9">
        <v>3897</v>
      </c>
      <c r="AI9">
        <v>97075</v>
      </c>
      <c r="AJ9">
        <f t="shared" si="2"/>
        <v>32358.333333333332</v>
      </c>
    </row>
    <row r="10" spans="1:36" x14ac:dyDescent="0.25">
      <c r="A10">
        <v>14</v>
      </c>
      <c r="B10">
        <v>936</v>
      </c>
      <c r="C10">
        <v>3198</v>
      </c>
      <c r="D10">
        <v>3265</v>
      </c>
      <c r="E10">
        <v>3020</v>
      </c>
      <c r="F10">
        <v>8557</v>
      </c>
      <c r="G10">
        <v>7575</v>
      </c>
      <c r="H10">
        <v>3596</v>
      </c>
      <c r="I10">
        <v>3488</v>
      </c>
      <c r="J10">
        <v>4355</v>
      </c>
      <c r="K10">
        <v>114010</v>
      </c>
      <c r="L10">
        <f t="shared" si="1"/>
        <v>38003.333333333336</v>
      </c>
      <c r="M10">
        <v>14</v>
      </c>
      <c r="N10">
        <v>2904</v>
      </c>
      <c r="O10">
        <v>20754</v>
      </c>
      <c r="P10">
        <v>8885</v>
      </c>
      <c r="Q10">
        <v>14402</v>
      </c>
      <c r="R10">
        <v>87873</v>
      </c>
      <c r="S10">
        <v>66432</v>
      </c>
      <c r="T10">
        <v>11587</v>
      </c>
      <c r="U10">
        <v>20457</v>
      </c>
      <c r="V10">
        <v>32362</v>
      </c>
      <c r="W10">
        <v>797007</v>
      </c>
      <c r="X10">
        <f t="shared" si="0"/>
        <v>265669</v>
      </c>
      <c r="Y10">
        <v>14</v>
      </c>
      <c r="Z10">
        <v>3103</v>
      </c>
      <c r="AA10">
        <v>22499</v>
      </c>
      <c r="AB10">
        <v>8982</v>
      </c>
      <c r="AC10">
        <v>14917</v>
      </c>
      <c r="AD10">
        <v>95722</v>
      </c>
      <c r="AE10">
        <v>72412</v>
      </c>
      <c r="AF10">
        <v>11547</v>
      </c>
      <c r="AG10">
        <v>22058</v>
      </c>
      <c r="AH10">
        <v>34615</v>
      </c>
      <c r="AI10">
        <v>857605</v>
      </c>
      <c r="AJ10">
        <f t="shared" si="2"/>
        <v>285868.33333333331</v>
      </c>
    </row>
    <row r="11" spans="1:36" x14ac:dyDescent="0.25">
      <c r="A11">
        <v>15</v>
      </c>
      <c r="B11">
        <v>5714</v>
      </c>
      <c r="C11">
        <v>24763</v>
      </c>
      <c r="D11">
        <v>27028</v>
      </c>
      <c r="E11">
        <v>24165</v>
      </c>
      <c r="F11">
        <v>68837</v>
      </c>
      <c r="G11">
        <v>59067</v>
      </c>
      <c r="H11">
        <v>27159</v>
      </c>
      <c r="I11">
        <v>26870</v>
      </c>
      <c r="J11">
        <v>32876</v>
      </c>
      <c r="K11">
        <v>889477</v>
      </c>
      <c r="L11">
        <f t="shared" si="1"/>
        <v>296492.33333333331</v>
      </c>
      <c r="M11">
        <v>15</v>
      </c>
      <c r="N11">
        <v>23469</v>
      </c>
      <c r="O11">
        <v>194231</v>
      </c>
      <c r="P11">
        <v>82622</v>
      </c>
      <c r="Q11">
        <v>133445</v>
      </c>
      <c r="R11">
        <v>892625</v>
      </c>
      <c r="S11">
        <v>649215</v>
      </c>
      <c r="T11">
        <v>111651</v>
      </c>
      <c r="U11">
        <v>200528</v>
      </c>
      <c r="V11">
        <v>311321</v>
      </c>
      <c r="W11">
        <v>7797359</v>
      </c>
      <c r="X11">
        <f t="shared" si="0"/>
        <v>2599119.6666666665</v>
      </c>
      <c r="Y11">
        <v>15</v>
      </c>
      <c r="Z11">
        <v>25038</v>
      </c>
      <c r="AA11">
        <v>208448</v>
      </c>
      <c r="AB11">
        <v>86175</v>
      </c>
      <c r="AC11">
        <v>138500</v>
      </c>
      <c r="AD11">
        <v>939975</v>
      </c>
      <c r="AE11">
        <v>670772</v>
      </c>
      <c r="AF11">
        <v>106498</v>
      </c>
      <c r="AG11">
        <v>202990</v>
      </c>
      <c r="AH11">
        <v>324523</v>
      </c>
      <c r="AI11">
        <v>8108798</v>
      </c>
      <c r="AJ11">
        <f t="shared" si="2"/>
        <v>2702932.6666666665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36E6-DCB4-40A7-AE33-24BF53A96508}">
  <dimension ref="A1:X10"/>
  <sheetViews>
    <sheetView zoomScale="70" zoomScaleNormal="70" workbookViewId="0">
      <selection activeCell="X1" sqref="X1"/>
    </sheetView>
  </sheetViews>
  <sheetFormatPr defaultRowHeight="15" x14ac:dyDescent="0.25"/>
  <sheetData>
    <row r="1" spans="1:24" x14ac:dyDescent="0.25">
      <c r="A1" t="s">
        <v>24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30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</row>
    <row r="2" spans="1:24" x14ac:dyDescent="0.25">
      <c r="A2">
        <v>6</v>
      </c>
      <c r="B2">
        <v>65</v>
      </c>
      <c r="C2">
        <v>62</v>
      </c>
      <c r="D2">
        <v>63</v>
      </c>
      <c r="E2">
        <v>58</v>
      </c>
      <c r="F2">
        <v>61</v>
      </c>
      <c r="G2">
        <v>60</v>
      </c>
      <c r="H2">
        <v>61</v>
      </c>
      <c r="I2">
        <v>61</v>
      </c>
      <c r="J2">
        <v>59</v>
      </c>
      <c r="K2">
        <v>1687</v>
      </c>
      <c r="L2">
        <f>K2/3</f>
        <v>562.33333333333337</v>
      </c>
      <c r="M2">
        <v>6</v>
      </c>
      <c r="N2">
        <v>109</v>
      </c>
      <c r="O2">
        <v>67</v>
      </c>
      <c r="P2">
        <v>63</v>
      </c>
      <c r="Q2">
        <v>60</v>
      </c>
      <c r="R2">
        <v>63</v>
      </c>
      <c r="S2">
        <v>61</v>
      </c>
      <c r="T2">
        <v>61</v>
      </c>
      <c r="U2">
        <v>61</v>
      </c>
      <c r="V2">
        <v>58</v>
      </c>
      <c r="W2">
        <v>1853</v>
      </c>
      <c r="X2">
        <f t="shared" ref="X2:X10" si="0">W2/3</f>
        <v>617.66666666666663</v>
      </c>
    </row>
    <row r="3" spans="1:24" x14ac:dyDescent="0.25">
      <c r="A3">
        <v>7</v>
      </c>
      <c r="B3">
        <v>60</v>
      </c>
      <c r="C3">
        <v>63</v>
      </c>
      <c r="D3">
        <v>66</v>
      </c>
      <c r="E3">
        <v>63</v>
      </c>
      <c r="F3">
        <v>69</v>
      </c>
      <c r="G3">
        <v>64</v>
      </c>
      <c r="H3">
        <v>64</v>
      </c>
      <c r="I3">
        <v>67</v>
      </c>
      <c r="J3">
        <v>61</v>
      </c>
      <c r="K3">
        <v>1769</v>
      </c>
      <c r="L3">
        <f t="shared" ref="L3:L10" si="1">K3/3</f>
        <v>589.66666666666663</v>
      </c>
      <c r="M3">
        <v>7</v>
      </c>
      <c r="N3">
        <v>62</v>
      </c>
      <c r="O3">
        <v>60</v>
      </c>
      <c r="P3">
        <v>61</v>
      </c>
      <c r="Q3">
        <v>62</v>
      </c>
      <c r="R3">
        <v>64</v>
      </c>
      <c r="S3">
        <v>62</v>
      </c>
      <c r="T3">
        <v>58</v>
      </c>
      <c r="U3">
        <v>60</v>
      </c>
      <c r="V3">
        <v>61</v>
      </c>
      <c r="W3">
        <v>1687</v>
      </c>
      <c r="X3">
        <f t="shared" si="0"/>
        <v>562.33333333333337</v>
      </c>
    </row>
    <row r="4" spans="1:24" x14ac:dyDescent="0.25">
      <c r="A4">
        <v>8</v>
      </c>
      <c r="B4">
        <v>66</v>
      </c>
      <c r="C4">
        <v>64</v>
      </c>
      <c r="D4">
        <v>71</v>
      </c>
      <c r="E4">
        <v>73</v>
      </c>
      <c r="F4">
        <v>74</v>
      </c>
      <c r="G4">
        <v>75</v>
      </c>
      <c r="H4">
        <v>68</v>
      </c>
      <c r="I4">
        <v>70</v>
      </c>
      <c r="J4">
        <v>67</v>
      </c>
      <c r="K4">
        <v>1920</v>
      </c>
      <c r="L4">
        <f t="shared" si="1"/>
        <v>640</v>
      </c>
      <c r="M4">
        <v>8</v>
      </c>
      <c r="N4">
        <v>62</v>
      </c>
      <c r="O4">
        <v>63</v>
      </c>
      <c r="P4">
        <v>68</v>
      </c>
      <c r="Q4">
        <v>63</v>
      </c>
      <c r="R4">
        <v>68</v>
      </c>
      <c r="S4">
        <v>69</v>
      </c>
      <c r="T4">
        <v>66</v>
      </c>
      <c r="U4">
        <v>65</v>
      </c>
      <c r="V4">
        <v>64</v>
      </c>
      <c r="W4">
        <v>1805</v>
      </c>
      <c r="X4">
        <f t="shared" si="0"/>
        <v>601.66666666666663</v>
      </c>
    </row>
    <row r="5" spans="1:24" x14ac:dyDescent="0.25">
      <c r="A5">
        <v>9</v>
      </c>
      <c r="B5">
        <v>64</v>
      </c>
      <c r="C5">
        <v>73</v>
      </c>
      <c r="D5">
        <v>96</v>
      </c>
      <c r="E5">
        <v>85</v>
      </c>
      <c r="F5">
        <v>91</v>
      </c>
      <c r="G5">
        <v>80</v>
      </c>
      <c r="H5">
        <v>92</v>
      </c>
      <c r="I5">
        <v>82</v>
      </c>
      <c r="J5">
        <v>73</v>
      </c>
      <c r="K5">
        <v>2250</v>
      </c>
      <c r="L5">
        <f t="shared" si="1"/>
        <v>750</v>
      </c>
      <c r="M5">
        <v>9</v>
      </c>
      <c r="N5">
        <v>64</v>
      </c>
      <c r="O5">
        <v>70</v>
      </c>
      <c r="P5">
        <v>78</v>
      </c>
      <c r="Q5">
        <v>72</v>
      </c>
      <c r="R5">
        <v>84</v>
      </c>
      <c r="S5">
        <v>76</v>
      </c>
      <c r="T5">
        <v>78</v>
      </c>
      <c r="U5">
        <v>75</v>
      </c>
      <c r="V5">
        <v>71</v>
      </c>
      <c r="W5">
        <v>2045</v>
      </c>
      <c r="X5">
        <f t="shared" si="0"/>
        <v>681.66666666666663</v>
      </c>
    </row>
    <row r="6" spans="1:24" x14ac:dyDescent="0.25">
      <c r="A6">
        <v>10</v>
      </c>
      <c r="B6">
        <v>76</v>
      </c>
      <c r="C6">
        <v>84</v>
      </c>
      <c r="D6">
        <v>151</v>
      </c>
      <c r="E6">
        <v>125</v>
      </c>
      <c r="F6">
        <v>122</v>
      </c>
      <c r="G6">
        <v>109</v>
      </c>
      <c r="H6">
        <v>128</v>
      </c>
      <c r="I6">
        <v>127</v>
      </c>
      <c r="J6">
        <v>90</v>
      </c>
      <c r="K6">
        <v>3075</v>
      </c>
      <c r="L6">
        <f t="shared" si="1"/>
        <v>1025</v>
      </c>
      <c r="M6">
        <v>10</v>
      </c>
      <c r="N6">
        <v>74</v>
      </c>
      <c r="O6">
        <v>84</v>
      </c>
      <c r="P6">
        <v>117</v>
      </c>
      <c r="Q6">
        <v>102</v>
      </c>
      <c r="R6">
        <v>111</v>
      </c>
      <c r="S6">
        <v>102</v>
      </c>
      <c r="T6">
        <v>107</v>
      </c>
      <c r="U6">
        <v>101</v>
      </c>
      <c r="V6">
        <v>86</v>
      </c>
      <c r="W6">
        <v>2699</v>
      </c>
      <c r="X6">
        <f t="shared" si="0"/>
        <v>899.66666666666663</v>
      </c>
    </row>
    <row r="7" spans="1:24" x14ac:dyDescent="0.25">
      <c r="A7">
        <v>11</v>
      </c>
      <c r="B7">
        <v>86</v>
      </c>
      <c r="C7">
        <v>126</v>
      </c>
      <c r="D7">
        <v>480</v>
      </c>
      <c r="E7">
        <v>331</v>
      </c>
      <c r="F7">
        <v>276</v>
      </c>
      <c r="G7">
        <v>200</v>
      </c>
      <c r="H7">
        <v>376</v>
      </c>
      <c r="I7">
        <v>310</v>
      </c>
      <c r="J7">
        <v>139</v>
      </c>
      <c r="K7">
        <v>7018</v>
      </c>
      <c r="L7">
        <f t="shared" si="1"/>
        <v>2339.3333333333335</v>
      </c>
      <c r="M7">
        <v>11</v>
      </c>
      <c r="N7">
        <v>87</v>
      </c>
      <c r="O7">
        <v>120</v>
      </c>
      <c r="P7">
        <v>324</v>
      </c>
      <c r="Q7">
        <v>238</v>
      </c>
      <c r="R7">
        <v>236</v>
      </c>
      <c r="S7">
        <v>184</v>
      </c>
      <c r="T7">
        <v>244</v>
      </c>
      <c r="U7">
        <v>226</v>
      </c>
      <c r="V7">
        <v>127</v>
      </c>
      <c r="W7">
        <v>5396</v>
      </c>
      <c r="X7">
        <f t="shared" si="0"/>
        <v>1798.6666666666667</v>
      </c>
    </row>
    <row r="8" spans="1:24" x14ac:dyDescent="0.25">
      <c r="A8">
        <v>12</v>
      </c>
      <c r="B8">
        <v>145</v>
      </c>
      <c r="C8">
        <v>291</v>
      </c>
      <c r="D8">
        <v>4399</v>
      </c>
      <c r="E8">
        <v>2530</v>
      </c>
      <c r="F8">
        <v>1317</v>
      </c>
      <c r="G8">
        <v>734</v>
      </c>
      <c r="H8">
        <v>2904</v>
      </c>
      <c r="I8">
        <v>2198</v>
      </c>
      <c r="J8">
        <v>324</v>
      </c>
      <c r="K8">
        <v>44570</v>
      </c>
      <c r="L8">
        <f t="shared" si="1"/>
        <v>14856.666666666666</v>
      </c>
      <c r="M8">
        <v>12</v>
      </c>
      <c r="N8">
        <v>137</v>
      </c>
      <c r="O8">
        <v>274</v>
      </c>
      <c r="P8">
        <v>2797</v>
      </c>
      <c r="Q8">
        <v>1747</v>
      </c>
      <c r="R8">
        <v>1291</v>
      </c>
      <c r="S8">
        <v>734</v>
      </c>
      <c r="T8">
        <v>1908</v>
      </c>
      <c r="U8">
        <v>1538</v>
      </c>
      <c r="V8">
        <v>328</v>
      </c>
      <c r="W8">
        <v>32303</v>
      </c>
      <c r="X8">
        <f t="shared" si="0"/>
        <v>10767.666666666666</v>
      </c>
    </row>
    <row r="9" spans="1:24" x14ac:dyDescent="0.25">
      <c r="A9">
        <v>13</v>
      </c>
      <c r="B9">
        <v>310</v>
      </c>
      <c r="C9">
        <v>1451</v>
      </c>
      <c r="D9">
        <v>67904</v>
      </c>
      <c r="E9">
        <v>36914</v>
      </c>
      <c r="F9">
        <v>13996</v>
      </c>
      <c r="G9">
        <v>6350</v>
      </c>
      <c r="H9">
        <v>49472</v>
      </c>
      <c r="I9">
        <v>32322</v>
      </c>
      <c r="J9">
        <v>2000</v>
      </c>
      <c r="K9">
        <v>632199</v>
      </c>
      <c r="L9">
        <f t="shared" si="1"/>
        <v>210733</v>
      </c>
      <c r="M9">
        <v>13</v>
      </c>
      <c r="N9">
        <v>318</v>
      </c>
      <c r="O9">
        <v>1342</v>
      </c>
      <c r="P9">
        <v>42361</v>
      </c>
      <c r="Q9">
        <v>24686</v>
      </c>
      <c r="R9">
        <v>11859</v>
      </c>
      <c r="S9">
        <v>5479</v>
      </c>
      <c r="T9">
        <v>24363</v>
      </c>
      <c r="U9">
        <v>19987</v>
      </c>
      <c r="V9">
        <v>1958</v>
      </c>
      <c r="W9">
        <v>397098</v>
      </c>
      <c r="X9">
        <f t="shared" si="0"/>
        <v>132366</v>
      </c>
    </row>
    <row r="10" spans="1:24" x14ac:dyDescent="0.25">
      <c r="A10">
        <v>14</v>
      </c>
      <c r="B10">
        <v>1429</v>
      </c>
      <c r="C10">
        <v>12923</v>
      </c>
      <c r="D10">
        <v>1217400</v>
      </c>
      <c r="E10">
        <v>637876</v>
      </c>
      <c r="F10">
        <v>139890</v>
      </c>
      <c r="G10">
        <v>53236</v>
      </c>
      <c r="H10">
        <v>662489</v>
      </c>
      <c r="I10">
        <v>482680</v>
      </c>
      <c r="J10">
        <v>19698</v>
      </c>
      <c r="K10">
        <v>9682906</v>
      </c>
      <c r="L10">
        <f t="shared" si="1"/>
        <v>3227635.3333333335</v>
      </c>
      <c r="M10">
        <v>14</v>
      </c>
      <c r="N10">
        <v>1374</v>
      </c>
      <c r="O10">
        <v>11561</v>
      </c>
      <c r="P10">
        <v>719477</v>
      </c>
      <c r="Q10">
        <v>420796</v>
      </c>
      <c r="R10">
        <v>136273</v>
      </c>
      <c r="S10">
        <v>54807</v>
      </c>
      <c r="T10">
        <v>394754</v>
      </c>
      <c r="U10">
        <v>308644</v>
      </c>
      <c r="V10">
        <v>18688</v>
      </c>
      <c r="W10">
        <v>6199168</v>
      </c>
      <c r="X10">
        <f t="shared" si="0"/>
        <v>2066389.3333333333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6137-AC77-4C0B-A0A3-F9A207FDAD98}">
  <dimension ref="A1:AJ11"/>
  <sheetViews>
    <sheetView topLeftCell="E1" zoomScale="70" zoomScaleNormal="70" workbookViewId="0">
      <selection activeCell="R27" sqref="R27"/>
    </sheetView>
  </sheetViews>
  <sheetFormatPr defaultRowHeight="15" x14ac:dyDescent="0.25"/>
  <sheetData>
    <row r="1" spans="1:36" x14ac:dyDescent="0.25">
      <c r="A1" t="s">
        <v>29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34</v>
      </c>
      <c r="M1" t="s">
        <v>25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34</v>
      </c>
      <c r="Y1" t="s">
        <v>32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34</v>
      </c>
    </row>
    <row r="2" spans="1:36" x14ac:dyDescent="0.25">
      <c r="A2">
        <v>6</v>
      </c>
      <c r="B2">
        <v>74</v>
      </c>
      <c r="C2">
        <v>67</v>
      </c>
      <c r="D2">
        <v>66</v>
      </c>
      <c r="E2">
        <v>75</v>
      </c>
      <c r="F2">
        <v>69</v>
      </c>
      <c r="G2">
        <v>69</v>
      </c>
      <c r="H2">
        <v>67</v>
      </c>
      <c r="I2">
        <v>66</v>
      </c>
      <c r="J2">
        <v>66</v>
      </c>
      <c r="K2">
        <v>1896</v>
      </c>
      <c r="L2">
        <f>K2/3</f>
        <v>632</v>
      </c>
      <c r="M2">
        <v>6</v>
      </c>
      <c r="N2">
        <v>78</v>
      </c>
      <c r="O2">
        <v>79</v>
      </c>
      <c r="P2">
        <v>78</v>
      </c>
      <c r="Q2">
        <v>85</v>
      </c>
      <c r="R2">
        <v>75</v>
      </c>
      <c r="S2">
        <v>75</v>
      </c>
      <c r="T2">
        <v>74</v>
      </c>
      <c r="U2">
        <v>76</v>
      </c>
      <c r="V2">
        <v>73</v>
      </c>
      <c r="W2">
        <v>2116</v>
      </c>
      <c r="X2">
        <f t="shared" ref="X2:X10" si="0">W2/3</f>
        <v>705.33333333333337</v>
      </c>
      <c r="Y2">
        <v>6</v>
      </c>
      <c r="Z2">
        <v>69</v>
      </c>
      <c r="AA2">
        <v>67</v>
      </c>
      <c r="AB2">
        <v>70</v>
      </c>
      <c r="AC2">
        <v>67</v>
      </c>
      <c r="AD2">
        <v>69</v>
      </c>
      <c r="AE2">
        <v>68</v>
      </c>
      <c r="AF2">
        <v>68</v>
      </c>
      <c r="AG2">
        <v>68</v>
      </c>
      <c r="AH2">
        <v>69</v>
      </c>
      <c r="AI2">
        <v>1886</v>
      </c>
      <c r="AJ2">
        <f t="shared" ref="AJ2:AJ11" si="1">AI2/3</f>
        <v>628.66666666666663</v>
      </c>
    </row>
    <row r="3" spans="1:36" x14ac:dyDescent="0.25">
      <c r="A3">
        <v>7</v>
      </c>
      <c r="B3">
        <v>68</v>
      </c>
      <c r="C3">
        <v>64</v>
      </c>
      <c r="D3">
        <v>65</v>
      </c>
      <c r="E3">
        <v>65</v>
      </c>
      <c r="F3">
        <v>70</v>
      </c>
      <c r="G3">
        <v>69</v>
      </c>
      <c r="H3">
        <v>65</v>
      </c>
      <c r="I3">
        <v>66</v>
      </c>
      <c r="J3">
        <v>68</v>
      </c>
      <c r="K3">
        <v>1838</v>
      </c>
      <c r="L3">
        <f t="shared" ref="L3:L11" si="2">K3/3</f>
        <v>612.66666666666663</v>
      </c>
      <c r="M3">
        <v>7</v>
      </c>
      <c r="N3">
        <v>72</v>
      </c>
      <c r="O3">
        <v>81</v>
      </c>
      <c r="P3">
        <v>79</v>
      </c>
      <c r="Q3">
        <v>75</v>
      </c>
      <c r="R3">
        <v>76</v>
      </c>
      <c r="S3">
        <v>74</v>
      </c>
      <c r="T3">
        <v>78</v>
      </c>
      <c r="U3">
        <v>78</v>
      </c>
      <c r="V3">
        <v>75</v>
      </c>
      <c r="W3">
        <v>2105</v>
      </c>
      <c r="X3">
        <f t="shared" si="0"/>
        <v>701.66666666666663</v>
      </c>
      <c r="Y3">
        <v>7</v>
      </c>
      <c r="Z3">
        <v>68</v>
      </c>
      <c r="AA3">
        <v>66</v>
      </c>
      <c r="AB3">
        <v>66</v>
      </c>
      <c r="AC3">
        <v>69</v>
      </c>
      <c r="AD3">
        <v>71</v>
      </c>
      <c r="AE3">
        <v>77</v>
      </c>
      <c r="AF3">
        <v>67</v>
      </c>
      <c r="AG3">
        <v>67</v>
      </c>
      <c r="AH3">
        <v>72</v>
      </c>
      <c r="AI3">
        <v>1909</v>
      </c>
      <c r="AJ3">
        <f t="shared" si="1"/>
        <v>636.33333333333337</v>
      </c>
    </row>
    <row r="4" spans="1:36" x14ac:dyDescent="0.25">
      <c r="A4">
        <v>8</v>
      </c>
      <c r="B4">
        <v>68</v>
      </c>
      <c r="C4">
        <v>70</v>
      </c>
      <c r="D4">
        <v>70</v>
      </c>
      <c r="E4">
        <v>69</v>
      </c>
      <c r="F4">
        <v>71</v>
      </c>
      <c r="G4">
        <v>70</v>
      </c>
      <c r="H4">
        <v>71</v>
      </c>
      <c r="I4">
        <v>66</v>
      </c>
      <c r="J4">
        <v>67</v>
      </c>
      <c r="K4">
        <v>1909</v>
      </c>
      <c r="L4">
        <f t="shared" si="2"/>
        <v>636.33333333333337</v>
      </c>
      <c r="M4">
        <v>8</v>
      </c>
      <c r="N4">
        <v>76</v>
      </c>
      <c r="O4">
        <v>76</v>
      </c>
      <c r="P4">
        <v>76</v>
      </c>
      <c r="Q4">
        <v>78</v>
      </c>
      <c r="R4">
        <v>79</v>
      </c>
      <c r="S4">
        <v>78</v>
      </c>
      <c r="T4">
        <v>78</v>
      </c>
      <c r="U4">
        <v>78</v>
      </c>
      <c r="V4">
        <v>75</v>
      </c>
      <c r="W4">
        <v>2123</v>
      </c>
      <c r="X4">
        <f t="shared" si="0"/>
        <v>707.66666666666663</v>
      </c>
      <c r="Y4">
        <v>8</v>
      </c>
      <c r="Z4">
        <v>69</v>
      </c>
      <c r="AA4">
        <v>68</v>
      </c>
      <c r="AB4">
        <v>69</v>
      </c>
      <c r="AC4">
        <v>68</v>
      </c>
      <c r="AD4">
        <v>71</v>
      </c>
      <c r="AE4">
        <v>70</v>
      </c>
      <c r="AF4">
        <v>70</v>
      </c>
      <c r="AG4">
        <v>70</v>
      </c>
      <c r="AH4">
        <v>71</v>
      </c>
      <c r="AI4">
        <v>1923</v>
      </c>
      <c r="AJ4">
        <f t="shared" si="1"/>
        <v>641</v>
      </c>
    </row>
    <row r="5" spans="1:36" x14ac:dyDescent="0.25">
      <c r="A5">
        <v>9</v>
      </c>
      <c r="B5">
        <v>68</v>
      </c>
      <c r="C5">
        <v>72</v>
      </c>
      <c r="D5">
        <v>75</v>
      </c>
      <c r="E5">
        <v>70</v>
      </c>
      <c r="F5">
        <v>81</v>
      </c>
      <c r="G5">
        <v>76</v>
      </c>
      <c r="H5">
        <v>71</v>
      </c>
      <c r="I5">
        <v>73</v>
      </c>
      <c r="J5">
        <v>72</v>
      </c>
      <c r="K5">
        <v>2012</v>
      </c>
      <c r="L5">
        <f t="shared" si="2"/>
        <v>670.66666666666663</v>
      </c>
      <c r="M5">
        <v>9</v>
      </c>
      <c r="N5">
        <v>78</v>
      </c>
      <c r="O5">
        <v>95</v>
      </c>
      <c r="P5">
        <v>90</v>
      </c>
      <c r="Q5">
        <v>84</v>
      </c>
      <c r="R5">
        <v>98</v>
      </c>
      <c r="S5">
        <v>101</v>
      </c>
      <c r="T5">
        <v>85</v>
      </c>
      <c r="U5">
        <v>84</v>
      </c>
      <c r="V5">
        <v>94</v>
      </c>
      <c r="W5">
        <v>2469</v>
      </c>
      <c r="X5">
        <f t="shared" si="0"/>
        <v>823</v>
      </c>
      <c r="Y5">
        <v>9</v>
      </c>
      <c r="Z5">
        <v>73</v>
      </c>
      <c r="AA5">
        <v>73</v>
      </c>
      <c r="AB5">
        <v>72</v>
      </c>
      <c r="AC5">
        <v>71</v>
      </c>
      <c r="AD5">
        <v>81</v>
      </c>
      <c r="AE5">
        <v>77</v>
      </c>
      <c r="AF5">
        <v>72</v>
      </c>
      <c r="AG5">
        <v>69</v>
      </c>
      <c r="AH5">
        <v>74</v>
      </c>
      <c r="AI5">
        <v>2028</v>
      </c>
      <c r="AJ5">
        <f t="shared" si="1"/>
        <v>676</v>
      </c>
    </row>
    <row r="6" spans="1:36" x14ac:dyDescent="0.25">
      <c r="A6">
        <v>10</v>
      </c>
      <c r="B6">
        <v>71</v>
      </c>
      <c r="C6">
        <v>81</v>
      </c>
      <c r="D6">
        <v>81</v>
      </c>
      <c r="E6">
        <v>78</v>
      </c>
      <c r="F6">
        <v>87</v>
      </c>
      <c r="G6">
        <v>83</v>
      </c>
      <c r="H6">
        <v>81</v>
      </c>
      <c r="I6">
        <v>82</v>
      </c>
      <c r="J6">
        <v>81</v>
      </c>
      <c r="K6">
        <v>2220</v>
      </c>
      <c r="L6">
        <f t="shared" si="2"/>
        <v>740</v>
      </c>
      <c r="M6">
        <v>10</v>
      </c>
      <c r="N6">
        <v>98</v>
      </c>
      <c r="O6">
        <v>112</v>
      </c>
      <c r="P6">
        <v>109</v>
      </c>
      <c r="Q6">
        <v>104</v>
      </c>
      <c r="R6">
        <v>154</v>
      </c>
      <c r="S6">
        <v>149</v>
      </c>
      <c r="T6">
        <v>110</v>
      </c>
      <c r="U6">
        <v>108</v>
      </c>
      <c r="V6">
        <v>122</v>
      </c>
      <c r="W6">
        <v>3237</v>
      </c>
      <c r="X6">
        <f t="shared" si="0"/>
        <v>1079</v>
      </c>
      <c r="Y6">
        <v>10</v>
      </c>
      <c r="Z6">
        <v>77</v>
      </c>
      <c r="AA6">
        <v>85</v>
      </c>
      <c r="AB6">
        <v>79</v>
      </c>
      <c r="AC6">
        <v>79</v>
      </c>
      <c r="AD6">
        <v>94</v>
      </c>
      <c r="AE6">
        <v>92</v>
      </c>
      <c r="AF6">
        <v>81</v>
      </c>
      <c r="AG6">
        <v>79</v>
      </c>
      <c r="AH6">
        <v>91</v>
      </c>
      <c r="AI6">
        <v>2310</v>
      </c>
      <c r="AJ6">
        <f t="shared" si="1"/>
        <v>770</v>
      </c>
    </row>
    <row r="7" spans="1:36" x14ac:dyDescent="0.25">
      <c r="A7">
        <v>11</v>
      </c>
      <c r="B7">
        <v>85</v>
      </c>
      <c r="C7">
        <v>103</v>
      </c>
      <c r="D7">
        <v>96</v>
      </c>
      <c r="E7">
        <v>100</v>
      </c>
      <c r="F7">
        <v>117</v>
      </c>
      <c r="G7">
        <v>122</v>
      </c>
      <c r="H7">
        <v>103</v>
      </c>
      <c r="I7">
        <v>99</v>
      </c>
      <c r="J7">
        <v>113</v>
      </c>
      <c r="K7">
        <v>2852</v>
      </c>
      <c r="L7">
        <f t="shared" si="2"/>
        <v>950.66666666666663</v>
      </c>
      <c r="M7">
        <v>11</v>
      </c>
      <c r="N7">
        <v>124</v>
      </c>
      <c r="O7">
        <v>200</v>
      </c>
      <c r="P7">
        <v>214</v>
      </c>
      <c r="Q7">
        <v>170</v>
      </c>
      <c r="R7">
        <v>376</v>
      </c>
      <c r="S7">
        <v>363</v>
      </c>
      <c r="T7">
        <v>225</v>
      </c>
      <c r="U7">
        <v>189</v>
      </c>
      <c r="V7">
        <v>238</v>
      </c>
      <c r="W7">
        <v>6339</v>
      </c>
      <c r="X7">
        <f t="shared" si="0"/>
        <v>2113</v>
      </c>
      <c r="Y7">
        <v>11</v>
      </c>
      <c r="Z7">
        <v>94</v>
      </c>
      <c r="AA7">
        <v>109</v>
      </c>
      <c r="AB7">
        <v>99</v>
      </c>
      <c r="AC7">
        <v>95</v>
      </c>
      <c r="AD7">
        <v>141</v>
      </c>
      <c r="AE7">
        <v>134</v>
      </c>
      <c r="AF7">
        <v>102</v>
      </c>
      <c r="AG7">
        <v>94</v>
      </c>
      <c r="AH7">
        <v>119</v>
      </c>
      <c r="AI7">
        <v>3001</v>
      </c>
      <c r="AJ7">
        <f t="shared" si="1"/>
        <v>1000.3333333333334</v>
      </c>
    </row>
    <row r="8" spans="1:36" x14ac:dyDescent="0.25">
      <c r="A8">
        <v>12</v>
      </c>
      <c r="B8">
        <v>120</v>
      </c>
      <c r="C8">
        <v>172</v>
      </c>
      <c r="D8">
        <v>162</v>
      </c>
      <c r="E8">
        <v>159</v>
      </c>
      <c r="F8">
        <v>256</v>
      </c>
      <c r="G8">
        <v>265</v>
      </c>
      <c r="H8">
        <v>173</v>
      </c>
      <c r="I8">
        <v>173</v>
      </c>
      <c r="J8">
        <v>200</v>
      </c>
      <c r="K8">
        <v>5080</v>
      </c>
      <c r="L8">
        <f t="shared" si="2"/>
        <v>1693.3333333333333</v>
      </c>
      <c r="M8">
        <v>12</v>
      </c>
      <c r="N8">
        <v>237</v>
      </c>
      <c r="O8">
        <v>565</v>
      </c>
      <c r="P8">
        <v>1078</v>
      </c>
      <c r="Q8">
        <v>746</v>
      </c>
      <c r="R8">
        <v>1600</v>
      </c>
      <c r="S8">
        <v>1463</v>
      </c>
      <c r="T8">
        <v>1223</v>
      </c>
      <c r="U8">
        <v>916</v>
      </c>
      <c r="V8">
        <v>839</v>
      </c>
      <c r="W8">
        <v>26045</v>
      </c>
      <c r="X8">
        <f t="shared" si="0"/>
        <v>8681.6666666666661</v>
      </c>
      <c r="Y8">
        <v>12</v>
      </c>
      <c r="Z8">
        <v>139</v>
      </c>
      <c r="AA8">
        <v>193</v>
      </c>
      <c r="AB8">
        <v>225</v>
      </c>
      <c r="AC8">
        <v>165</v>
      </c>
      <c r="AD8">
        <v>331</v>
      </c>
      <c r="AE8">
        <v>311</v>
      </c>
      <c r="AF8">
        <v>222</v>
      </c>
      <c r="AG8">
        <v>174</v>
      </c>
      <c r="AH8">
        <v>229</v>
      </c>
      <c r="AI8">
        <v>6004</v>
      </c>
      <c r="AJ8">
        <f t="shared" si="1"/>
        <v>2001.3333333333333</v>
      </c>
    </row>
    <row r="9" spans="1:36" x14ac:dyDescent="0.25">
      <c r="A9">
        <v>13</v>
      </c>
      <c r="B9">
        <v>241</v>
      </c>
      <c r="C9">
        <v>565</v>
      </c>
      <c r="D9">
        <v>528</v>
      </c>
      <c r="E9">
        <v>499</v>
      </c>
      <c r="F9">
        <v>1304</v>
      </c>
      <c r="G9">
        <v>1147</v>
      </c>
      <c r="H9">
        <v>614</v>
      </c>
      <c r="I9">
        <v>582</v>
      </c>
      <c r="J9">
        <v>713</v>
      </c>
      <c r="K9">
        <v>18623</v>
      </c>
      <c r="L9">
        <f t="shared" si="2"/>
        <v>6207.666666666667</v>
      </c>
      <c r="M9">
        <v>13</v>
      </c>
      <c r="N9">
        <v>644</v>
      </c>
      <c r="O9">
        <v>3192</v>
      </c>
      <c r="P9">
        <v>10946</v>
      </c>
      <c r="Q9">
        <v>6563</v>
      </c>
      <c r="R9">
        <v>11286</v>
      </c>
      <c r="S9">
        <v>9964</v>
      </c>
      <c r="T9">
        <v>11852</v>
      </c>
      <c r="U9">
        <v>8554</v>
      </c>
      <c r="V9">
        <v>5019</v>
      </c>
      <c r="W9">
        <v>204099</v>
      </c>
      <c r="X9">
        <f t="shared" si="0"/>
        <v>68033</v>
      </c>
      <c r="Y9">
        <v>13</v>
      </c>
      <c r="Z9">
        <v>265</v>
      </c>
      <c r="AA9">
        <v>592</v>
      </c>
      <c r="AB9">
        <v>1255</v>
      </c>
      <c r="AC9">
        <v>649</v>
      </c>
      <c r="AD9">
        <v>1537</v>
      </c>
      <c r="AE9">
        <v>1321</v>
      </c>
      <c r="AF9">
        <v>1156</v>
      </c>
      <c r="AG9">
        <v>728</v>
      </c>
      <c r="AH9">
        <v>775</v>
      </c>
      <c r="AI9">
        <v>24874</v>
      </c>
      <c r="AJ9">
        <f t="shared" si="1"/>
        <v>8291.3333333333339</v>
      </c>
    </row>
    <row r="10" spans="1:36" x14ac:dyDescent="0.25">
      <c r="A10">
        <v>14</v>
      </c>
      <c r="B10">
        <v>936</v>
      </c>
      <c r="C10">
        <v>3198</v>
      </c>
      <c r="D10">
        <v>3265</v>
      </c>
      <c r="E10">
        <v>3020</v>
      </c>
      <c r="F10">
        <v>8557</v>
      </c>
      <c r="G10">
        <v>7575</v>
      </c>
      <c r="H10">
        <v>3596</v>
      </c>
      <c r="I10">
        <v>3488</v>
      </c>
      <c r="J10">
        <v>4355</v>
      </c>
      <c r="K10">
        <v>114010</v>
      </c>
      <c r="L10">
        <f t="shared" si="2"/>
        <v>38003.333333333336</v>
      </c>
      <c r="M10">
        <v>14</v>
      </c>
      <c r="N10">
        <v>3494</v>
      </c>
      <c r="O10">
        <v>25058</v>
      </c>
      <c r="P10">
        <v>130490</v>
      </c>
      <c r="Q10">
        <v>73538</v>
      </c>
      <c r="R10">
        <v>95344</v>
      </c>
      <c r="S10">
        <v>82043</v>
      </c>
      <c r="T10">
        <v>134555</v>
      </c>
      <c r="U10">
        <v>97690</v>
      </c>
      <c r="V10">
        <v>39257</v>
      </c>
      <c r="W10">
        <v>2044450</v>
      </c>
      <c r="X10">
        <f t="shared" si="0"/>
        <v>681483.33333333337</v>
      </c>
      <c r="Y10">
        <v>14</v>
      </c>
      <c r="Z10">
        <v>953</v>
      </c>
      <c r="AA10">
        <v>3141</v>
      </c>
      <c r="AB10">
        <v>10164</v>
      </c>
      <c r="AC10">
        <v>4514</v>
      </c>
      <c r="AD10">
        <v>10593</v>
      </c>
      <c r="AE10">
        <v>8519</v>
      </c>
      <c r="AF10">
        <v>8811</v>
      </c>
      <c r="AG10">
        <v>4962</v>
      </c>
      <c r="AH10">
        <v>4296</v>
      </c>
      <c r="AI10">
        <v>167907</v>
      </c>
      <c r="AJ10">
        <f t="shared" si="1"/>
        <v>55969</v>
      </c>
    </row>
    <row r="11" spans="1:36" x14ac:dyDescent="0.25">
      <c r="A11">
        <v>15</v>
      </c>
      <c r="B11">
        <v>5714</v>
      </c>
      <c r="C11">
        <v>24763</v>
      </c>
      <c r="D11">
        <v>27028</v>
      </c>
      <c r="E11">
        <v>24165</v>
      </c>
      <c r="F11">
        <v>68837</v>
      </c>
      <c r="G11">
        <v>59067</v>
      </c>
      <c r="H11">
        <v>27159</v>
      </c>
      <c r="I11">
        <v>26870</v>
      </c>
      <c r="J11">
        <v>32876</v>
      </c>
      <c r="K11">
        <v>889477</v>
      </c>
      <c r="L11">
        <f t="shared" si="2"/>
        <v>296492.33333333331</v>
      </c>
      <c r="Y11">
        <v>15</v>
      </c>
      <c r="Z11">
        <v>5870</v>
      </c>
      <c r="AA11">
        <v>24262</v>
      </c>
      <c r="AB11">
        <v>94912</v>
      </c>
      <c r="AC11">
        <v>37171</v>
      </c>
      <c r="AD11">
        <v>87493</v>
      </c>
      <c r="AE11">
        <v>67856</v>
      </c>
      <c r="AF11">
        <v>75935</v>
      </c>
      <c r="AG11">
        <v>39947</v>
      </c>
      <c r="AH11">
        <v>32080</v>
      </c>
      <c r="AI11">
        <v>1396620</v>
      </c>
      <c r="AJ11">
        <f t="shared" si="1"/>
        <v>465540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7322-4E34-486A-84B9-43E2B0BA10B2}">
  <dimension ref="A1:D14"/>
  <sheetViews>
    <sheetView tabSelected="1" workbookViewId="0">
      <selection activeCell="F11" sqref="F11"/>
    </sheetView>
  </sheetViews>
  <sheetFormatPr defaultRowHeight="15" x14ac:dyDescent="0.25"/>
  <cols>
    <col min="2" max="2" width="15.7109375" customWidth="1"/>
    <col min="3" max="3" width="9.85546875" bestFit="1" customWidth="1"/>
    <col min="4" max="4" width="5.85546875" customWidth="1"/>
  </cols>
  <sheetData>
    <row r="1" spans="1:4" x14ac:dyDescent="0.25">
      <c r="A1" t="s">
        <v>35</v>
      </c>
      <c r="B1" t="s">
        <v>37</v>
      </c>
      <c r="C1" t="s">
        <v>36</v>
      </c>
      <c r="D1" t="s">
        <v>38</v>
      </c>
    </row>
    <row r="2" spans="1:4" x14ac:dyDescent="0.25">
      <c r="A2">
        <v>6</v>
      </c>
      <c r="B2">
        <v>1.4E-2</v>
      </c>
      <c r="C2">
        <v>3.0000000000000001E-3</v>
      </c>
      <c r="D2">
        <f t="shared" ref="D2:D14" si="0">B2/C2</f>
        <v>4.666666666666667</v>
      </c>
    </row>
    <row r="3" spans="1:4" x14ac:dyDescent="0.25">
      <c r="A3">
        <v>7</v>
      </c>
      <c r="B3">
        <v>1.4E-2</v>
      </c>
      <c r="C3">
        <v>3.0000000000000001E-3</v>
      </c>
      <c r="D3">
        <f t="shared" si="0"/>
        <v>4.666666666666667</v>
      </c>
    </row>
    <row r="4" spans="1:4" x14ac:dyDescent="0.25">
      <c r="A4">
        <v>8</v>
      </c>
      <c r="B4">
        <v>1.2999999999999999E-2</v>
      </c>
      <c r="C4">
        <v>3.0000000000000001E-3</v>
      </c>
      <c r="D4">
        <f t="shared" si="0"/>
        <v>4.333333333333333</v>
      </c>
    </row>
    <row r="5" spans="1:4" x14ac:dyDescent="0.25">
      <c r="A5">
        <v>9</v>
      </c>
      <c r="B5">
        <v>1.2999999999999999E-2</v>
      </c>
      <c r="C5">
        <v>3.0000000000000001E-3</v>
      </c>
      <c r="D5">
        <f t="shared" si="0"/>
        <v>4.333333333333333</v>
      </c>
    </row>
    <row r="6" spans="1:4" x14ac:dyDescent="0.25">
      <c r="A6">
        <v>10</v>
      </c>
      <c r="B6">
        <v>1.2999999999999999E-2</v>
      </c>
      <c r="C6">
        <v>3.0000000000000001E-3</v>
      </c>
      <c r="D6">
        <f t="shared" si="0"/>
        <v>4.333333333333333</v>
      </c>
    </row>
    <row r="7" spans="1:4" x14ac:dyDescent="0.25">
      <c r="A7">
        <v>11</v>
      </c>
      <c r="B7">
        <v>1.4E-2</v>
      </c>
      <c r="C7">
        <v>4.0000000000000001E-3</v>
      </c>
      <c r="D7">
        <f t="shared" si="0"/>
        <v>3.5</v>
      </c>
    </row>
    <row r="8" spans="1:4" x14ac:dyDescent="0.25">
      <c r="A8">
        <v>12</v>
      </c>
      <c r="B8">
        <v>0.02</v>
      </c>
      <c r="C8">
        <v>8.0000000000000002E-3</v>
      </c>
      <c r="D8">
        <f t="shared" si="0"/>
        <v>2.5</v>
      </c>
    </row>
    <row r="9" spans="1:4" x14ac:dyDescent="0.25">
      <c r="A9">
        <v>13</v>
      </c>
      <c r="B9">
        <v>6.4000000000000001E-2</v>
      </c>
      <c r="C9">
        <v>3.9E-2</v>
      </c>
      <c r="D9">
        <f t="shared" si="0"/>
        <v>1.641025641025641</v>
      </c>
    </row>
    <row r="10" spans="1:4" x14ac:dyDescent="0.25">
      <c r="A10">
        <v>14</v>
      </c>
      <c r="B10">
        <v>0.39100000000000001</v>
      </c>
      <c r="C10">
        <v>0.25</v>
      </c>
      <c r="D10">
        <f t="shared" si="0"/>
        <v>1.5640000000000001</v>
      </c>
    </row>
    <row r="11" spans="1:4" x14ac:dyDescent="0.25">
      <c r="A11">
        <v>15</v>
      </c>
      <c r="B11">
        <v>2.9169999999999998</v>
      </c>
      <c r="C11">
        <v>1.8939999999999999</v>
      </c>
      <c r="D11">
        <f t="shared" si="0"/>
        <v>1.5401267159450898</v>
      </c>
    </row>
    <row r="12" spans="1:4" x14ac:dyDescent="0.25">
      <c r="A12">
        <v>16</v>
      </c>
      <c r="B12">
        <v>22.46</v>
      </c>
      <c r="C12">
        <v>15.025</v>
      </c>
      <c r="D12">
        <f t="shared" si="0"/>
        <v>1.4948419301164726</v>
      </c>
    </row>
    <row r="13" spans="1:4" x14ac:dyDescent="0.25">
      <c r="A13">
        <v>17</v>
      </c>
      <c r="B13">
        <v>177.232</v>
      </c>
      <c r="C13">
        <v>121.124</v>
      </c>
      <c r="D13">
        <f t="shared" si="0"/>
        <v>1.4632277665863083</v>
      </c>
    </row>
    <row r="14" spans="1:4" x14ac:dyDescent="0.25">
      <c r="A14">
        <v>18</v>
      </c>
      <c r="B14">
        <v>1426.213</v>
      </c>
      <c r="C14">
        <v>1013.71</v>
      </c>
      <c r="D14">
        <f t="shared" si="0"/>
        <v>1.4069240709867712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Times</vt:lpstr>
      <vt:lpstr>General</vt:lpstr>
      <vt:lpstr>PortingC</vt:lpstr>
      <vt:lpstr>Index</vt:lpstr>
      <vt:lpstr>Bitsets</vt:lpstr>
      <vt:lpstr>Datastructures</vt:lpstr>
      <vt:lpstr>Nauty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Claerhout</dc:creator>
  <cp:lastModifiedBy>Arne Claerhout</cp:lastModifiedBy>
  <dcterms:created xsi:type="dcterms:W3CDTF">2026-04-25T15:09:05Z</dcterms:created>
  <dcterms:modified xsi:type="dcterms:W3CDTF">2026-04-28T11:00:01Z</dcterms:modified>
</cp:coreProperties>
</file>